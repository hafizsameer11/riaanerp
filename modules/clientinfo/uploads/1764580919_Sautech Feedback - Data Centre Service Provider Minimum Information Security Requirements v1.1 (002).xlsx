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autoCompressPictures="0"/>
  <mc:AlternateContent xmlns:mc="http://schemas.openxmlformats.org/markup-compatibility/2006">
    <mc:Choice Requires="x15">
      <x15ac:absPath xmlns:x15ac="http://schemas.microsoft.com/office/spreadsheetml/2010/11/ac" url="D:\Werk\Client Docs\Ness\"/>
    </mc:Choice>
  </mc:AlternateContent>
  <bookViews>
    <workbookView xWindow="0" yWindow="0" windowWidth="19200" windowHeight="6732" tabRatio="575" activeTab="2"/>
  </bookViews>
  <sheets>
    <sheet name="COVER" sheetId="5" r:id="rId1"/>
    <sheet name="Questionnaire-Solutions (light)" sheetId="8" state="hidden" r:id="rId2"/>
    <sheet name="Min Requirements Data Centers" sheetId="17" r:id="rId3"/>
  </sheets>
  <externalReferences>
    <externalReference r:id="rId4"/>
    <externalReference r:id="rId5"/>
    <externalReference r:id="rId6"/>
    <externalReference r:id="rId7"/>
  </externalReferences>
  <definedNames>
    <definedName name="_xlnm._FilterDatabase" localSheetId="2" hidden="1">'Min Requirements Data Centers'!$C$2:$I$46</definedName>
    <definedName name="abc" localSheetId="2">'Min Requirements Data Centers'!PeriodInActual*(#REF!&gt;0)</definedName>
    <definedName name="abc">PeriodInActual*(#REF!&gt;0)</definedName>
    <definedName name="abc_22" localSheetId="2">'Min Requirements Data Centers'!PeriodInActual*(#REF!&gt;0)</definedName>
    <definedName name="abc_22">PeriodInActual*(#REF!&gt;0)</definedName>
    <definedName name="abcccccccccccc" localSheetId="2">'Min Requirements Data Centers'!PeriodInActual3333*(#REF!&gt;0)</definedName>
    <definedName name="abcccccccccccc">PeriodInActual3333*(#REF!&gt;0)</definedName>
    <definedName name="abcddd" localSheetId="2">'Min Requirements Data Centers'!PeriodInActual_3333*(#REF!&gt;0)</definedName>
    <definedName name="abcddd">PeriodInActual_3333*(#REF!&gt;0)</definedName>
    <definedName name="Actual" localSheetId="2">('Min Requirements Data Centers'!PeriodInActual*(#REF!&gt;0))*'Min Requirements Data Centers'!PeriodInPlan</definedName>
    <definedName name="Actual">(PeriodInActual*(#REF!&gt;0))*PeriodInPlan</definedName>
    <definedName name="Actual_222" localSheetId="2">('Min Requirements Data Centers'!PeriodInActual*(#REF!&gt;0))*'Min Requirements Data Centers'!PeriodInPlan</definedName>
    <definedName name="Actual_222">(PeriodInActual*(#REF!&gt;0))*PeriodInPlan</definedName>
    <definedName name="Actual_33" localSheetId="2">('Min Requirements Data Centers'!PeriodInActual3*(#REF!&gt;0))*'Min Requirements Data Centers'!PeriodInPlan3</definedName>
    <definedName name="Actual_33">(PeriodInActual3*(#REF!&gt;0))*PeriodInPlan3</definedName>
    <definedName name="Actual2" localSheetId="2">('Min Requirements Data Centers'!PeriodInActual*(#REF!&gt;0))*'Min Requirements Data Centers'!PeriodInPlan</definedName>
    <definedName name="Actual2">(PeriodInActual*(#REF!&gt;0))*PeriodInPlan</definedName>
    <definedName name="Actual2_22" localSheetId="2">('Min Requirements Data Centers'!PeriodInActual*(#REF!&gt;0))*'Min Requirements Data Centers'!PeriodInPlan</definedName>
    <definedName name="Actual2_22">(PeriodInActual*(#REF!&gt;0))*PeriodInPlan</definedName>
    <definedName name="Actual2222" localSheetId="2">('Min Requirements Data Centers'!PeriodInActual_3333*(#REF!&gt;0))*'Min Requirements Data Centers'!PeriodInPlan_333</definedName>
    <definedName name="Actual2222">(PeriodInActual_3333*(#REF!&gt;0))*PeriodInPlan_333</definedName>
    <definedName name="Actual3" localSheetId="2">('Min Requirements Data Centers'!PeriodInActual3*(#REF!&gt;0))*'Min Requirements Data Centers'!PeriodInPlan3</definedName>
    <definedName name="Actual3">(PeriodInActual3*(#REF!&gt;0))*PeriodInPlan3</definedName>
    <definedName name="actual333" localSheetId="2">('Min Requirements Data Centers'!PeriodInActual3333*(#REF!&gt;0))*'Min Requirements Data Centers'!PeriodInPlan4444</definedName>
    <definedName name="actual333">(PeriodInActual3333*(#REF!&gt;0))*PeriodInPlan4444</definedName>
    <definedName name="ActualBeyond" localSheetId="2">'Min Requirements Data Centers'!PeriodInActual*(#REF!&gt;0)</definedName>
    <definedName name="ActualBeyond">PeriodInActual*(#REF!&gt;0)</definedName>
    <definedName name="ActualBeyond_22" localSheetId="2">'Min Requirements Data Centers'!PeriodInActual*(#REF!&gt;0)</definedName>
    <definedName name="ActualBeyond_22">PeriodInActual*(#REF!&gt;0)</definedName>
    <definedName name="ActualBeyond_33" localSheetId="2">'Min Requirements Data Centers'!PeriodInActual*(#REF!&gt;0)</definedName>
    <definedName name="ActualBeyond_33">PeriodInActual*(#REF!&gt;0)</definedName>
    <definedName name="ActualBeyond_334" localSheetId="2">'Min Requirements Data Centers'!PeriodInActual3*(#REF!&gt;0)</definedName>
    <definedName name="ActualBeyond_334">PeriodInActual3*(#REF!&gt;0)</definedName>
    <definedName name="ActualBeyond2" localSheetId="2">'Min Requirements Data Centers'!PeriodInActual*(#REF!&gt;0)</definedName>
    <definedName name="ActualBeyond2">PeriodInActual*(#REF!&gt;0)</definedName>
    <definedName name="ActualBeyond3" localSheetId="2">'Min Requirements Data Centers'!PeriodInActual3*(#REF!&gt;0)</definedName>
    <definedName name="ActualBeyond3">PeriodInActual3*(#REF!&gt;0)</definedName>
    <definedName name="ActualBeyond33" localSheetId="2">'Min Requirements Data Centers'!PeriodInActual_3333*(#REF!&gt;0)</definedName>
    <definedName name="ActualBeyond33">PeriodInActual_3333*(#REF!&gt;0)</definedName>
    <definedName name="ActualBeyond333" localSheetId="2">'Min Requirements Data Centers'!PeriodInActual3333*(#REF!&gt;0)</definedName>
    <definedName name="ActualBeyond333">PeriodInActual3333*(#REF!&gt;0)</definedName>
    <definedName name="ClassPerInfoOwner" localSheetId="2">'[1]Data 8'!#REF!</definedName>
    <definedName name="ClassPerInfoOwner" localSheetId="1">'[1]Data 8'!#REF!</definedName>
    <definedName name="ClassPerInfoOwner">'[1]Data 8'!#REF!</definedName>
    <definedName name="Consumer_and_Service" localSheetId="2">#REF!</definedName>
    <definedName name="Consumer_and_Service">#REF!</definedName>
    <definedName name="Consumer_and_Service2" localSheetId="2">#REF!</definedName>
    <definedName name="Consumer_and_Service2">#REF!</definedName>
    <definedName name="Consumer_and_Service2222" localSheetId="2">#REF!</definedName>
    <definedName name="Consumer_and_Service2222">#REF!</definedName>
    <definedName name="Consumer_and_Service3" localSheetId="2">#REF!</definedName>
    <definedName name="Consumer_and_Service3">#REF!</definedName>
    <definedName name="Consumer_and_Service4444" localSheetId="2">#REF!</definedName>
    <definedName name="Consumer_and_Service4444">#REF!</definedName>
    <definedName name="ew">(PeriodInActual3333*(#REF!&gt;0))*PeriodInPlan4444</definedName>
    <definedName name="Financial_Services" localSheetId="2">#REF!</definedName>
    <definedName name="Financial_Services">#REF!</definedName>
    <definedName name="Financial_Services2" localSheetId="2">#REF!</definedName>
    <definedName name="Financial_Services2">#REF!</definedName>
    <definedName name="Financial_Services3" localSheetId="2">#REF!</definedName>
    <definedName name="Financial_Services3">#REF!</definedName>
    <definedName name="Financial_Services333" localSheetId="2">#REF!</definedName>
    <definedName name="Financial_Services333">#REF!</definedName>
    <definedName name="Financial_Services4444" localSheetId="2">#REF!</definedName>
    <definedName name="Financial_Services4444">#REF!</definedName>
    <definedName name="Healthcare" localSheetId="2">#REF!</definedName>
    <definedName name="Healthcare">#REF!</definedName>
    <definedName name="Healthcare2" localSheetId="2">#REF!</definedName>
    <definedName name="Healthcare2">#REF!</definedName>
    <definedName name="Healthcare3333" localSheetId="2">#REF!</definedName>
    <definedName name="Healthcare3333">#REF!</definedName>
    <definedName name="Healthcare44444" localSheetId="2">#REF!</definedName>
    <definedName name="Healthcare44444">#REF!</definedName>
    <definedName name="hfdh">"Chart 7"</definedName>
    <definedName name="hshshhs" localSheetId="2">#REF!</definedName>
    <definedName name="hshshhs">#REF!</definedName>
    <definedName name="hshshhs22" localSheetId="2">#REF!</definedName>
    <definedName name="hshshhs22">#REF!</definedName>
    <definedName name="hshshhs44" localSheetId="2">#REF!</definedName>
    <definedName name="hshshhs44">#REF!</definedName>
    <definedName name="Industrial" localSheetId="2">#REF!</definedName>
    <definedName name="Industrial">#REF!</definedName>
    <definedName name="Industrial2" localSheetId="2">#REF!</definedName>
    <definedName name="Industrial2">#REF!</definedName>
    <definedName name="Industrial3" localSheetId="2">#REF!</definedName>
    <definedName name="Industrial3">#REF!</definedName>
    <definedName name="Industrial333" localSheetId="2">#REF!</definedName>
    <definedName name="Industrial333">#REF!</definedName>
    <definedName name="Industrial344" localSheetId="2">#REF!</definedName>
    <definedName name="Industrial344">#REF!</definedName>
    <definedName name="Industrial444" localSheetId="2">#REF!</definedName>
    <definedName name="Industrial444">#REF!</definedName>
    <definedName name="JESUS100">[2]Sheet1!$H$10:$H$17</definedName>
    <definedName name="Maturity">'[3]Maturity Model'!$B$3:$B$9</definedName>
    <definedName name="NameLookup" localSheetId="2">#REF!</definedName>
    <definedName name="NameLookup">#REF!</definedName>
    <definedName name="NameLookup2" localSheetId="2">#REF!</definedName>
    <definedName name="NameLookup2">#REF!</definedName>
    <definedName name="NameLookup2222" localSheetId="2">#REF!</definedName>
    <definedName name="NameLookup2222">#REF!</definedName>
    <definedName name="NameLookup3" localSheetId="2">#REF!</definedName>
    <definedName name="NameLookup3">#REF!</definedName>
    <definedName name="NameLookup333" localSheetId="2">#REF!</definedName>
    <definedName name="NameLookup333">#REF!</definedName>
    <definedName name="NameLookup3333" localSheetId="2">#REF!</definedName>
    <definedName name="NameLookup3333">#REF!</definedName>
    <definedName name="Oil_and_Gas" localSheetId="2">#REF!</definedName>
    <definedName name="Oil_and_Gas">#REF!</definedName>
    <definedName name="Oil_and_Gas2" localSheetId="2">#REF!</definedName>
    <definedName name="Oil_and_Gas2">#REF!</definedName>
    <definedName name="Oil_and_Gas2222" localSheetId="2">#REF!</definedName>
    <definedName name="Oil_and_Gas2222">#REF!</definedName>
    <definedName name="Oil_and_Gas22222" localSheetId="2">#REF!</definedName>
    <definedName name="Oil_and_Gas22222">#REF!</definedName>
    <definedName name="Oil_and_Gas3" localSheetId="2">#REF!</definedName>
    <definedName name="Oil_and_Gas3">#REF!</definedName>
    <definedName name="Oil_and_Gas333" localSheetId="2">#REF!</definedName>
    <definedName name="Oil_and_Gas333">#REF!</definedName>
    <definedName name="PercentComplete" localSheetId="2">'Min Requirements Data Centers'!PercentCompleteBeyond*'Min Requirements Data Centers'!PeriodInPlan</definedName>
    <definedName name="PercentComplete">PercentCompleteBeyond*PeriodInPlan</definedName>
    <definedName name="PercentComplete_33" localSheetId="2">'Min Requirements Data Centers'!PercentCompleteBeyond_33*'Min Requirements Data Centers'!PeriodInPlan</definedName>
    <definedName name="PercentComplete_33">PercentCompleteBeyond_33*PeriodInPlan</definedName>
    <definedName name="PercentComplete2" localSheetId="2">'Min Requirements Data Centers'!PercentCompleteBeyond2*'Min Requirements Data Centers'!PeriodInPlan2</definedName>
    <definedName name="PercentComplete2">PercentCompleteBeyond2*PeriodInPlan2</definedName>
    <definedName name="PercentComplete2_22" localSheetId="2">'Min Requirements Data Centers'!PercentCompleteBeyond2*'Min Requirements Data Centers'!PeriodInPlan2</definedName>
    <definedName name="PercentComplete2_22">PercentCompleteBeyond2*PeriodInPlan2</definedName>
    <definedName name="PercentComplete222" localSheetId="2">'Min Requirements Data Centers'!PercentCompleteBeyond2223*'Min Requirements Data Centers'!PeriodInPlan2222</definedName>
    <definedName name="PercentComplete222">PercentCompleteBeyond2223*PeriodInPlan2222</definedName>
    <definedName name="PercentComplete2222" localSheetId="2">'Min Requirements Data Centers'!PercentCompleteBeyond2222*'Min Requirements Data Centers'!PeriodInPlan_333</definedName>
    <definedName name="PercentComplete2222">PercentCompleteBeyond2222*PeriodInPlan_333</definedName>
    <definedName name="PercentComplete3" localSheetId="2">'Min Requirements Data Centers'!PercentCompleteBeyond*'Min Requirements Data Centers'!PeriodInPlan</definedName>
    <definedName name="PercentComplete3">PercentCompleteBeyond*PeriodInPlan</definedName>
    <definedName name="PercentComplete3_33" localSheetId="2">'Min Requirements Data Centers'!PercentCompleteBeyond_33*'Min Requirements Data Centers'!PeriodInPlan</definedName>
    <definedName name="PercentComplete3_33">PercentCompleteBeyond_33*PeriodInPlan</definedName>
    <definedName name="PercentComplete3333" localSheetId="2">'Min Requirements Data Centers'!PercentCompleteBeyond333*'Min Requirements Data Centers'!PeriodInPlan4444</definedName>
    <definedName name="PercentComplete3333">PercentCompleteBeyond333*PeriodInPlan4444</definedName>
    <definedName name="PercentComplete4" localSheetId="2">'Min Requirements Data Centers'!PercentCompleteBeyond3*'Min Requirements Data Centers'!PeriodInPlan3</definedName>
    <definedName name="PercentComplete4">PercentCompleteBeyond3*PeriodInPlan3</definedName>
    <definedName name="PercentComplete4_22" localSheetId="2">'Min Requirements Data Centers'!PercentCompleteBeyond3*'Min Requirements Data Centers'!PeriodInPlan3</definedName>
    <definedName name="PercentComplete4_22">PercentCompleteBeyond3*PeriodInPlan3</definedName>
    <definedName name="PercentCompleteBeyond" localSheetId="2">(#REF!=MEDIAN(#REF!,#REF!,#REF!+#REF!)*(#REF!&gt;0))*((#REF!&lt;(INT(#REF!+#REF!*#REF!)))+(#REF!=#REF!))*(#REF!&gt;0)</definedName>
    <definedName name="PercentCompleteBeyond">(#REF!=MEDIAN(#REF!,#REF!,#REF!+#REF!)*(#REF!&gt;0))*((#REF!&lt;(INT(#REF!+#REF!*#REF!)))+(#REF!=#REF!))*(#REF!&gt;0)</definedName>
    <definedName name="PercentCompleteBeyond_33" localSheetId="2">(#REF!=MEDIAN(#REF!,#REF!,#REF!+#REF!)*(#REF!&gt;0))*((#REF!&lt;(INT(#REF!+#REF!*#REF!)))+(#REF!=#REF!))*(#REF!&gt;0)</definedName>
    <definedName name="PercentCompleteBeyond_33">(#REF!=MEDIAN(#REF!,#REF!,#REF!+#REF!)*(#REF!&gt;0))*((#REF!&lt;(INT(#REF!+#REF!*#REF!)))+(#REF!=#REF!))*(#REF!&gt;0)</definedName>
    <definedName name="PercentCompleteBeyond2" localSheetId="2">(#REF!=MEDIAN(#REF!,#REF!,#REF!+#REF!)*(#REF!&gt;0))*((#REF!&lt;(INT(#REF!+#REF!*#REF!)))+(#REF!=#REF!))*(#REF!&gt;0)</definedName>
    <definedName name="PercentCompleteBeyond2">(#REF!=MEDIAN(#REF!,#REF!,#REF!+#REF!)*(#REF!&gt;0))*((#REF!&lt;(INT(#REF!+#REF!*#REF!)))+(#REF!=#REF!))*(#REF!&gt;0)</definedName>
    <definedName name="PercentCompleteBeyond222" localSheetId="2">(#REF!=MEDIAN(#REF!,#REF!,#REF!+#REF!)*(#REF!&gt;0))*((#REF!&lt;(INT(#REF!+#REF!*#REF!)))+(#REF!=#REF!))*(#REF!&gt;0)</definedName>
    <definedName name="PercentCompleteBeyond222">(#REF!=MEDIAN(#REF!,#REF!,#REF!+#REF!)*(#REF!&gt;0))*((#REF!&lt;(INT(#REF!+#REF!*#REF!)))+(#REF!=#REF!))*(#REF!&gt;0)</definedName>
    <definedName name="PercentCompleteBeyond2222" localSheetId="2">(#REF!=MEDIAN(#REF!,#REF!,#REF!+#REF!)*(#REF!&gt;0))*((#REF!&lt;(INT(#REF!+#REF!*#REF!)))+(#REF!=#REF!))*(#REF!&gt;0)</definedName>
    <definedName name="PercentCompleteBeyond2222">(#REF!=MEDIAN(#REF!,#REF!,#REF!+#REF!)*(#REF!&gt;0))*((#REF!&lt;(INT(#REF!+#REF!*#REF!)))+(#REF!=#REF!))*(#REF!&gt;0)</definedName>
    <definedName name="PercentCompleteBeyond2223" localSheetId="2">(#REF!=MEDIAN(#REF!,#REF!,#REF!+#REF!)*(#REF!&gt;0))*((#REF!&lt;(INT(#REF!+#REF!*#REF!)))+(#REF!=#REF!))*(#REF!&gt;0)</definedName>
    <definedName name="PercentCompleteBeyond2223">(#REF!=MEDIAN(#REF!,#REF!,#REF!+#REF!)*(#REF!&gt;0))*((#REF!&lt;(INT(#REF!+#REF!*#REF!)))+(#REF!=#REF!))*(#REF!&gt;0)</definedName>
    <definedName name="PercentCompleteBeyond3" localSheetId="2">(#REF!=MEDIAN(#REF!,#REF!,#REF!+#REF!)*(#REF!&gt;0))*((#REF!&lt;(INT(#REF!+#REF!*#REF!)))+(#REF!=#REF!))*(#REF!&gt;0)</definedName>
    <definedName name="PercentCompleteBeyond3">(#REF!=MEDIAN(#REF!,#REF!,#REF!+#REF!)*(#REF!&gt;0))*((#REF!&lt;(INT(#REF!+#REF!*#REF!)))+(#REF!=#REF!))*(#REF!&gt;0)</definedName>
    <definedName name="PercentCompleteBeyond333" localSheetId="2">(#REF!=MEDIAN(#REF!,#REF!,#REF!+#REF!)*(#REF!&gt;0))*((#REF!&lt;(INT(#REF!+#REF!*#REF!)))+(#REF!=#REF!))*(#REF!&gt;0)</definedName>
    <definedName name="PercentCompleteBeyond333">(#REF!=MEDIAN(#REF!,#REF!,#REF!+#REF!)*(#REF!&gt;0))*((#REF!&lt;(INT(#REF!+#REF!*#REF!)))+(#REF!=#REF!))*(#REF!&gt;0)</definedName>
    <definedName name="PercentCompleteBeyond4" localSheetId="2">(#REF!=MEDIAN(#REF!,#REF!,#REF!+#REF!)*(#REF!&gt;0))*((#REF!&lt;(INT(#REF!+#REF!*#REF!)))+(#REF!=#REF!))*(#REF!&gt;0)</definedName>
    <definedName name="PercentCompleteBeyond4">(#REF!=MEDIAN(#REF!,#REF!,#REF!+#REF!)*(#REF!&gt;0))*((#REF!&lt;(INT(#REF!+#REF!*#REF!)))+(#REF!=#REF!))*(#REF!&gt;0)</definedName>
    <definedName name="period_selected" localSheetId="2">#REF!</definedName>
    <definedName name="period_selected">#REF!</definedName>
    <definedName name="period_selected3" localSheetId="2">#REF!</definedName>
    <definedName name="period_selected3">#REF!</definedName>
    <definedName name="period_selected333" localSheetId="2">#REF!</definedName>
    <definedName name="period_selected333">#REF!</definedName>
    <definedName name="period_selected33333" localSheetId="2">#REF!</definedName>
    <definedName name="period_selected33333">#REF!</definedName>
    <definedName name="period_selected4" localSheetId="2">#REF!</definedName>
    <definedName name="period_selected4">#REF!</definedName>
    <definedName name="PeriodInActual" localSheetId="2">#REF!=MEDIAN(#REF!,#REF!,#REF!+#REF!-1)</definedName>
    <definedName name="PeriodInActual">#REF!=MEDIAN(#REF!,#REF!,#REF!+#REF!-1)</definedName>
    <definedName name="PeriodInActual_3333" localSheetId="2">#REF!=MEDIAN(#REF!,#REF!,#REF!+#REF!-1)</definedName>
    <definedName name="PeriodInActual_3333">#REF!=MEDIAN(#REF!,#REF!,#REF!+#REF!-1)</definedName>
    <definedName name="PeriodInActual3" localSheetId="2">#REF!=MEDIAN(#REF!,#REF!,#REF!+#REF!-1)</definedName>
    <definedName name="PeriodInActual3">#REF!=MEDIAN(#REF!,#REF!,#REF!+#REF!-1)</definedName>
    <definedName name="PeriodInActual3333" localSheetId="2">#REF!=MEDIAN(#REF!,#REF!,#REF!+#REF!-1)</definedName>
    <definedName name="PeriodInActual3333">#REF!=MEDIAN(#REF!,#REF!,#REF!+#REF!-1)</definedName>
    <definedName name="PeriodInPlan" localSheetId="2">#REF!=MEDIAN(#REF!,#REF!,#REF!+#REF!-1)</definedName>
    <definedName name="PeriodInPlan">#REF!=MEDIAN(#REF!,#REF!,#REF!+#REF!-1)</definedName>
    <definedName name="PeriodInPlan_333" localSheetId="2">#REF!=MEDIAN(#REF!,#REF!,#REF!+#REF!-1)</definedName>
    <definedName name="PeriodInPlan_333">#REF!=MEDIAN(#REF!,#REF!,#REF!+#REF!-1)</definedName>
    <definedName name="PeriodInPlan2" localSheetId="2">#REF!=MEDIAN(#REF!,#REF!,#REF!+#REF!-1)</definedName>
    <definedName name="PeriodInPlan2">#REF!=MEDIAN(#REF!,#REF!,#REF!+#REF!-1)</definedName>
    <definedName name="PeriodInPlan2222" localSheetId="2">#REF!=MEDIAN(#REF!,#REF!,#REF!+#REF!-1)</definedName>
    <definedName name="PeriodInPlan2222">#REF!=MEDIAN(#REF!,#REF!,#REF!+#REF!-1)</definedName>
    <definedName name="PeriodInPlan3" localSheetId="2">#REF!=MEDIAN(#REF!,#REF!,#REF!+#REF!-1)</definedName>
    <definedName name="PeriodInPlan3">#REF!=MEDIAN(#REF!,#REF!,#REF!+#REF!-1)</definedName>
    <definedName name="PeriodInPlan4" localSheetId="2">#REF!=MEDIAN(#REF!,#REF!,#REF!+#REF!-1)</definedName>
    <definedName name="PeriodInPlan4">#REF!=MEDIAN(#REF!,#REF!,#REF!+#REF!-1)</definedName>
    <definedName name="PeriodInPlan4444" localSheetId="2">#REF!=MEDIAN(#REF!,#REF!,#REF!+#REF!-1)</definedName>
    <definedName name="PeriodInPlan4444">#REF!=MEDIAN(#REF!,#REF!,#REF!+#REF!-1)</definedName>
    <definedName name="Plan" localSheetId="2">'Min Requirements Data Centers'!PeriodInPlan*(#REF!&gt;0)</definedName>
    <definedName name="Plan">PeriodInPlan*(#REF!&gt;0)</definedName>
    <definedName name="Plan_44" localSheetId="2">'Min Requirements Data Centers'!PeriodInPlan*(#REF!&gt;0)</definedName>
    <definedName name="Plan_44">PeriodInPlan*(#REF!&gt;0)</definedName>
    <definedName name="Plan2" localSheetId="2">'Min Requirements Data Centers'!PeriodInPlan*(#REF!&gt;0)</definedName>
    <definedName name="Plan2">PeriodInPlan*(#REF!&gt;0)</definedName>
    <definedName name="Plan2_22" localSheetId="2">'Min Requirements Data Centers'!PeriodInPlan*(#REF!&gt;0)</definedName>
    <definedName name="Plan2_22">PeriodInPlan*(#REF!&gt;0)</definedName>
    <definedName name="Plan333" localSheetId="2">'Min Requirements Data Centers'!PeriodInPlan_333*(#REF!&gt;0)</definedName>
    <definedName name="Plan333">PeriodInPlan_333*(#REF!&gt;0)</definedName>
    <definedName name="Plan3333" localSheetId="2">'Min Requirements Data Centers'!PeriodInPlan4444*(#REF!&gt;0)</definedName>
    <definedName name="Plan3333">PeriodInPlan4444*(#REF!&gt;0)</definedName>
    <definedName name="Plan4" localSheetId="2">'Min Requirements Data Centers'!PeriodInPlan3*(#REF!&gt;0)</definedName>
    <definedName name="Plan4">PeriodInPlan3*(#REF!&gt;0)</definedName>
    <definedName name="Plan4_3333" localSheetId="2">'Min Requirements Data Centers'!PeriodInPlan3*(#REF!&gt;0)</definedName>
    <definedName name="Plan4_3333">PeriodInPlan3*(#REF!&gt;0)</definedName>
    <definedName name="Public_Sector" localSheetId="2">#REF!</definedName>
    <definedName name="Public_Sector">#REF!</definedName>
    <definedName name="Public_Sector_333" localSheetId="2">#REF!</definedName>
    <definedName name="Public_Sector_333">#REF!</definedName>
    <definedName name="Public_Sector2" localSheetId="2">#REF!</definedName>
    <definedName name="Public_Sector2">#REF!</definedName>
    <definedName name="Public_Sector22222" localSheetId="2">#REF!</definedName>
    <definedName name="Public_Sector22222">#REF!</definedName>
    <definedName name="Public_Sector3" localSheetId="2">#REF!</definedName>
    <definedName name="Public_Sector3">#REF!</definedName>
    <definedName name="Public_Sector333" localSheetId="2">#REF!</definedName>
    <definedName name="Public_Sector333">#REF!</definedName>
    <definedName name="Public_Sector3333" localSheetId="2">#REF!</definedName>
    <definedName name="Public_Sector3333">#REF!</definedName>
    <definedName name="Public_Sector4" localSheetId="2">#REF!</definedName>
    <definedName name="Public_Sector4">#REF!</definedName>
    <definedName name="Ques">(PeriodInActual*(#REF!&gt;0))*PeriodInPlan</definedName>
    <definedName name="rev_likelihood_lookup">[4]References!$F$10:$G$14</definedName>
    <definedName name="RiskPerValChain">"Chart 7"</definedName>
    <definedName name="Technology" localSheetId="2">#REF!</definedName>
    <definedName name="Technology">#REF!</definedName>
    <definedName name="Technology_4444" localSheetId="2">#REF!</definedName>
    <definedName name="Technology_4444">#REF!</definedName>
    <definedName name="Technology2" localSheetId="2">#REF!</definedName>
    <definedName name="Technology2">#REF!</definedName>
    <definedName name="Technology22222" localSheetId="2">#REF!</definedName>
    <definedName name="Technology22222">#REF!</definedName>
    <definedName name="Technology3333" localSheetId="2">#REF!</definedName>
    <definedName name="Technology3333">#REF!</definedName>
    <definedName name="Technology4" localSheetId="2">#REF!</definedName>
    <definedName name="Technology4">#REF!</definedName>
    <definedName name="Technology444444" localSheetId="2">#REF!</definedName>
    <definedName name="Technology444444">#REF!</definedName>
    <definedName name="Technology5" localSheetId="2">#REF!</definedName>
    <definedName name="Technology5">#REF!</definedName>
    <definedName name="totalInfoAssets">'[1]Data 33'!$Q$1</definedName>
  </definedNames>
  <calcPr calcId="162913"/>
  <extLst>
    <ext xmlns:mx="http://schemas.microsoft.com/office/mac/excel/2008/main" uri="{7523E5D3-25F3-A5E0-1632-64F254C22452}">
      <mx:ArchID Flags="2"/>
    </ext>
  </extLst>
</workbook>
</file>

<file path=xl/calcChain.xml><?xml version="1.0" encoding="utf-8"?>
<calcChain xmlns="http://schemas.openxmlformats.org/spreadsheetml/2006/main">
  <c r="K95" i="8" l="1"/>
  <c r="K96" i="8"/>
  <c r="K97" i="8"/>
  <c r="K81" i="8"/>
  <c r="K123" i="8"/>
  <c r="K122" i="8"/>
  <c r="K121" i="8"/>
  <c r="K120" i="8"/>
  <c r="K119" i="8"/>
  <c r="K117" i="8"/>
  <c r="K115" i="8"/>
  <c r="K114" i="8"/>
  <c r="K113" i="8"/>
  <c r="K112" i="8"/>
  <c r="K111" i="8"/>
  <c r="K110" i="8"/>
  <c r="K109" i="8"/>
  <c r="K108" i="8"/>
  <c r="K106" i="8"/>
  <c r="K104" i="8"/>
  <c r="K103" i="8"/>
  <c r="K102" i="8"/>
  <c r="K101" i="8"/>
  <c r="K100" i="8"/>
  <c r="K99" i="8"/>
  <c r="K98" i="8"/>
  <c r="K94" i="8"/>
  <c r="K92" i="8"/>
  <c r="K91" i="8"/>
  <c r="K90" i="8"/>
  <c r="K89" i="8"/>
  <c r="K88" i="8"/>
  <c r="K80" i="8"/>
  <c r="K78" i="8"/>
  <c r="K77" i="8"/>
  <c r="K76" i="8"/>
  <c r="K75" i="8"/>
  <c r="K73" i="8"/>
  <c r="K72" i="8"/>
  <c r="K71" i="8"/>
  <c r="K70" i="8"/>
  <c r="K69" i="8"/>
  <c r="K68" i="8"/>
  <c r="K67" i="8"/>
  <c r="K66" i="8"/>
  <c r="K63" i="8"/>
  <c r="K62" i="8"/>
  <c r="K61" i="8"/>
  <c r="K60" i="8"/>
  <c r="K59" i="8"/>
  <c r="K58" i="8"/>
  <c r="K57" i="8"/>
  <c r="K56" i="8"/>
  <c r="K55" i="8"/>
  <c r="K54" i="8"/>
  <c r="K53" i="8"/>
  <c r="K52" i="8"/>
  <c r="K51" i="8"/>
  <c r="K50" i="8"/>
  <c r="K49" i="8"/>
  <c r="K48" i="8"/>
  <c r="K47" i="8"/>
  <c r="K45" i="8"/>
  <c r="K44" i="8"/>
  <c r="K43" i="8"/>
  <c r="K42" i="8"/>
  <c r="K41" i="8"/>
  <c r="K39" i="8"/>
  <c r="K37" i="8"/>
  <c r="K36" i="8"/>
  <c r="K35" i="8"/>
  <c r="K34" i="8"/>
  <c r="K29" i="8"/>
  <c r="K28" i="8"/>
  <c r="K27" i="8"/>
  <c r="K25" i="8"/>
  <c r="K24" i="8"/>
  <c r="E5" i="8"/>
</calcChain>
</file>

<file path=xl/comments1.xml><?xml version="1.0" encoding="utf-8"?>
<comments xmlns="http://schemas.openxmlformats.org/spreadsheetml/2006/main">
  <authors>
    <author>Faseegah Samuels</author>
  </authors>
  <commentList>
    <comment ref="G1" authorId="0" shapeId="0">
      <text>
        <r>
          <rPr>
            <b/>
            <sz val="9"/>
            <color indexed="81"/>
            <rFont val="Calibri"/>
            <family val="2"/>
          </rPr>
          <t>Faseegah Samuels:</t>
        </r>
        <r>
          <rPr>
            <sz val="9"/>
            <color indexed="81"/>
            <rFont val="Calibri"/>
            <family val="2"/>
          </rPr>
          <t xml:space="preserve">
This is no longer applicable as we agreed with Kerissa that this is no longer a requirement
The full risk assessment questionnaire 
will be handled by OR where we will have light involvement</t>
        </r>
      </text>
    </comment>
    <comment ref="J25" authorId="0" shapeId="0">
      <text>
        <r>
          <rPr>
            <b/>
            <sz val="9"/>
            <color indexed="81"/>
            <rFont val="Calibri"/>
            <family val="2"/>
          </rPr>
          <t>Faseegah Samuels:</t>
        </r>
        <r>
          <rPr>
            <sz val="9"/>
            <color indexed="81"/>
            <rFont val="Calibri"/>
            <family val="2"/>
          </rPr>
          <t xml:space="preserve">
Ilhaam 
Can you please add in a category for Not applicable with no scoring on this one</t>
        </r>
      </text>
    </comment>
    <comment ref="G57" authorId="0" shapeId="0">
      <text>
        <r>
          <rPr>
            <b/>
            <sz val="9"/>
            <color indexed="81"/>
            <rFont val="Tahoma"/>
            <family val="2"/>
          </rPr>
          <t>Faseegah Samuels:
Checked to OM password policy</t>
        </r>
      </text>
    </comment>
    <comment ref="G100" authorId="0" shapeId="0">
      <text>
        <r>
          <rPr>
            <b/>
            <sz val="9"/>
            <color indexed="81"/>
            <rFont val="Tahoma"/>
            <family val="2"/>
          </rPr>
          <t>Faseegah Samuels:
To add in IPS and IDS</t>
        </r>
        <r>
          <rPr>
            <sz val="9"/>
            <color indexed="81"/>
            <rFont val="Tahoma"/>
            <family val="2"/>
          </rPr>
          <t xml:space="preserve">
</t>
        </r>
      </text>
    </comment>
  </commentList>
</comments>
</file>

<file path=xl/sharedStrings.xml><?xml version="1.0" encoding="utf-8"?>
<sst xmlns="http://schemas.openxmlformats.org/spreadsheetml/2006/main" count="513" uniqueCount="360">
  <si>
    <t>Compliance score</t>
  </si>
  <si>
    <t>Compliance status</t>
  </si>
  <si>
    <t>Please provide a justification for all "Fully compliant" and "Partially compliant" responses by specifying the control measures that you have implemented to meet this requirement (mandatory)</t>
  </si>
  <si>
    <t>Fully compliant (100%)</t>
  </si>
  <si>
    <t>Version</t>
  </si>
  <si>
    <t>Owner</t>
  </si>
  <si>
    <t>Last updated by</t>
  </si>
  <si>
    <t>Date</t>
  </si>
  <si>
    <t>Ref</t>
  </si>
  <si>
    <t>Control domain</t>
  </si>
  <si>
    <t>Control category</t>
  </si>
  <si>
    <t>ISO/R&amp;C ref</t>
  </si>
  <si>
    <t>OR, SA Req</t>
  </si>
  <si>
    <t>Question - Operating system, DB, Application &amp; Network</t>
  </si>
  <si>
    <t xml:space="preserve"> Findings</t>
  </si>
  <si>
    <t>Mitigating Actions/Recommendations</t>
  </si>
  <si>
    <t>SA</t>
  </si>
  <si>
    <t>Data Governance</t>
  </si>
  <si>
    <t>A.8.2.1</t>
  </si>
  <si>
    <t>OR</t>
  </si>
  <si>
    <t>Is information used and processed by this solution classified in terms of legal requirements, value, criticality and sensitivity to unauthorised disclosure or modification?</t>
  </si>
  <si>
    <t>Data Lifecycle management</t>
  </si>
  <si>
    <t>Is data/media securely disposed of when no longer required using formal procedures and guidelines?</t>
  </si>
  <si>
    <t xml:space="preserve">
A.15.1.3
</t>
  </si>
  <si>
    <t>Compliance Management</t>
  </si>
  <si>
    <t>System Interfaces</t>
  </si>
  <si>
    <t>A.13.1.3</t>
  </si>
  <si>
    <t>Is groups of information services, users and information systems segregated in networks?</t>
  </si>
  <si>
    <t xml:space="preserve">24) Are public facing components segmented from resources in the internal network using a DMZ? (Firewall, IP based restrictions, Data loss prevention, Intrustion detection &amp;  prevention, etc.)
</t>
  </si>
  <si>
    <t>Is remote connections and access to the network is governed to limit the risk of unauthorised access to critical applications and data from outside the network?</t>
  </si>
  <si>
    <t>Data 
Encryption</t>
  </si>
  <si>
    <t>A.18.1.15/ 91</t>
  </si>
  <si>
    <t xml:space="preserve">Does the solution ensure that records are protected from loss, destruction, falsification, unauthorised access and unauthorised release, in accordance with legislatory, regulatory, contractual and business requirements? </t>
  </si>
  <si>
    <t xml:space="preserve">
Secure data transfer</t>
  </si>
  <si>
    <t>A13.2.1</t>
  </si>
  <si>
    <t>Data Obsfucation</t>
  </si>
  <si>
    <t>71/ A14.3.1</t>
  </si>
  <si>
    <t>Is test data carefully selected, protected and controlled</t>
  </si>
  <si>
    <t>Physical Security</t>
  </si>
  <si>
    <t>56/ A11.2.1</t>
  </si>
  <si>
    <t xml:space="preserve">Is infrastructure sited and protected to reduce the risks from environmental  threats and hazards, and opportunities for unauthorised access
</t>
  </si>
  <si>
    <t>40) Are there adequate environmental controls in place?
(Fire suppression, air conditioning, raised flooring, UPS, backup generators etc)</t>
  </si>
  <si>
    <t>42) Are there reports or certifcations that we can rely on to gain comfort on the security posture of the data centre? (ISO cerifications, SSAE16 Type ii reports etc)</t>
  </si>
  <si>
    <t>Access Control</t>
  </si>
  <si>
    <t>27/ A.9.2.1</t>
  </si>
  <si>
    <t xml:space="preserve">Is access throughout the technology (Operating system, database, application, network) managed per a defined user registration and de-registration process to monitor and control  the assignment of access rights
</t>
  </si>
  <si>
    <t xml:space="preserve">43)  Does this process include:
a) The use of unique ID's to link users to their actions
b) Disabling users as soon as they leave the organisation
c) Regularly identifying and removing redundant user ID's
d) Ensuring that redundant users are not issued to other users
e) Access provisioning, modification and deprovisioning
f) User Access reviews
</t>
  </si>
  <si>
    <t>Management of privileged access rights</t>
  </si>
  <si>
    <t>A.9.2.3</t>
  </si>
  <si>
    <t xml:space="preserve">Is the allocation and use of privileged access access rights restricted and controlled?
</t>
  </si>
  <si>
    <t>49) Are users accounts that have system-level privileges allowed to share account credentials or does each user have their own unique credential set for the system?</t>
  </si>
  <si>
    <t>Review of user access rights</t>
  </si>
  <si>
    <t>A.9.2.5/ 28</t>
  </si>
  <si>
    <t xml:space="preserve">Asset owners shall review users’ access rights at regular intervals.
</t>
  </si>
  <si>
    <t xml:space="preserve">51) Are user and system administrator access reviews conducted to make sure they have appropriate access? How often?
</t>
  </si>
  <si>
    <t>Directory services</t>
  </si>
  <si>
    <t>A.9.4.2</t>
  </si>
  <si>
    <t xml:space="preserve">Where required by the OMEM Identity and access control policy, is access to systems and application controlled by a secure log-on procedure?
</t>
  </si>
  <si>
    <t>53) Is there an existing authentication source that would be used to control access to the system (e.g. SSA, Authenticated SMTP gateway etc).</t>
  </si>
  <si>
    <t>61) Default accounts must be administratively locked unless required for functional purposes.</t>
  </si>
  <si>
    <t xml:space="preserve">A9.4.3/ 80
</t>
  </si>
  <si>
    <t>Is password management systems interactive and is quality passwords ensured?</t>
  </si>
  <si>
    <t>64) Is user privileges assigned according to job function (role) within the organization and following the concept of need-to-know or least privilege</t>
  </si>
  <si>
    <t>65)  Is user privileges such as database user authorizations explicitly assigned to defined roles and not implied or blindly inherited.</t>
  </si>
  <si>
    <t>Segregation of duties</t>
  </si>
  <si>
    <t xml:space="preserve">Is adequate segregation of duties in place to minimise the possibilities of inappropriate activities:
</t>
  </si>
  <si>
    <t xml:space="preserve">68) Are developers and restricted from accessing the production environment.
</t>
  </si>
  <si>
    <t>Access to program source code</t>
  </si>
  <si>
    <t>A9.4.5</t>
  </si>
  <si>
    <t>Secure Information Security management</t>
  </si>
  <si>
    <t>Software development and Code management</t>
  </si>
  <si>
    <t>65/ ISF C18.1</t>
  </si>
  <si>
    <t xml:space="preserve">Is system build activities (including coding and package customisation) is carried out in accordance with industry good practice; performed by individuals provided with adequate skills / tools; and inspected to identify unauthorised modifications or changes?
</t>
  </si>
  <si>
    <t>71) Has the technology been developed using OM secure coding standards, and taking the OMEM application and infrastructure standards into consideration?
.</t>
  </si>
  <si>
    <t>System build</t>
  </si>
  <si>
    <t>System Testing</t>
  </si>
  <si>
    <t>66/ A.14.2.8</t>
  </si>
  <si>
    <t>Implementation process</t>
  </si>
  <si>
    <t>Formal approvals are in place when new systems are to be implemented to the live environment in accordance with a documented installation framework / process.</t>
  </si>
  <si>
    <t xml:space="preserve">77)  Is senior organisation management, and stakeholders is informed of the decision and outstanding tasks/deliverables and potential risks before “go live” to accept/reject the decision. 
</t>
  </si>
  <si>
    <t>Configuration and Policy management</t>
  </si>
  <si>
    <t>IT OPS</t>
  </si>
  <si>
    <t xml:space="preserve">Where technically possible, security configuration settings on all information systems (including application and operating systems) are set in accordance to defined security baseline (CIS- Centre for Internet Security) and are periodically reviewed for compliance.
</t>
  </si>
  <si>
    <t>Logging and Monitoring</t>
  </si>
  <si>
    <t>A.12.4/ 73</t>
  </si>
  <si>
    <t>Is event logs recording user activities, exceptions, faults and information security events produced, kept and regularly reviewed?</t>
  </si>
  <si>
    <t>Is logging facilities and log information protected against tampering and unauthorized access?</t>
  </si>
  <si>
    <t>Is system administrator and system operator activities logged and the logs protected and regularly reviewed?</t>
  </si>
  <si>
    <t>Security and Incident and Event management</t>
  </si>
  <si>
    <t>A.16.1.2</t>
  </si>
  <si>
    <t>Is Information security events logged and reported through appropriate management channels as quickly as possible?</t>
  </si>
  <si>
    <t>83) Does the solution ensure that syslogs is integrated into Security Incident and Event Management (SIEM) tool?</t>
  </si>
  <si>
    <t>DR and availability management</t>
  </si>
  <si>
    <t>DR</t>
  </si>
  <si>
    <t xml:space="preserve">A.17.1
</t>
  </si>
  <si>
    <t xml:space="preserve">Has BCP requirements been determined for information security  and continuity of information security in adverse situations e.g. during crisis or disaster?
</t>
  </si>
  <si>
    <t xml:space="preserve">85) Has BCP elements been considered in general, is there a business continuity plan in place?
</t>
  </si>
  <si>
    <t>Business continuity</t>
  </si>
  <si>
    <t>A.17.2.1</t>
  </si>
  <si>
    <t>Is Information processing facilities implemented with redundancy sufficient to meet availability requirements?</t>
  </si>
  <si>
    <t>Threat and vulnerability management</t>
  </si>
  <si>
    <t>Vulnerability Management</t>
  </si>
  <si>
    <t>A.12.6.1 /53</t>
  </si>
  <si>
    <t xml:space="preserve">Is information about technical vulnerabilities of information systems obtained in a timely fashion, OMEM's
exposure to such vulnerabilities evaluated and appropriate measures taken to address the associated risk?
</t>
  </si>
  <si>
    <t>90) How often are vulnerability scans performed and how soon are findings remediated.</t>
  </si>
  <si>
    <t>94) Is there a patching strategy in place for the upgrading of the OS, application and database) for bug fixes and upgrades.</t>
  </si>
  <si>
    <t>95) Are patches tested and evaluated before they are implemented</t>
  </si>
  <si>
    <t>Anti Malware</t>
  </si>
  <si>
    <t xml:space="preserve">A.12.2.1 / 59 </t>
  </si>
  <si>
    <t>Is detection, prevention and recovery controls to protect against malware, implemented, combined with appropriate user awareness</t>
  </si>
  <si>
    <t>96) Are detection, prevention and recovery controls defined for protection against malware and are the servers and workstations being used up to date?</t>
  </si>
  <si>
    <t>Intrusion detection</t>
  </si>
  <si>
    <t>ISF CF10.6.7</t>
  </si>
  <si>
    <t xml:space="preserve">Is intrusion detection mechanisms applied to systems and networks to identify predetermined and new types of attacks, </t>
  </si>
  <si>
    <t>Penetration testing</t>
  </si>
  <si>
    <t>Is Penetration testing performed on the solution, which is  focused on finding security vulnerabilities in a target environment that could let an attacker penetrate the network or computer systems for malicious purposes?</t>
  </si>
  <si>
    <t>Incident Management</t>
  </si>
  <si>
    <t>A.16.1</t>
  </si>
  <si>
    <t>Problem Management</t>
  </si>
  <si>
    <t>Web server security - complete if applicable</t>
  </si>
  <si>
    <t>Web server security</t>
  </si>
  <si>
    <t>- For external facing webserver, ensure secure connections e.g. use SSL
- Ensure that webservers are built according to OMEM Application and Infrastructure security standards
- Ensure that web servers are continuously scanned for vulnerabilities</t>
  </si>
  <si>
    <t>Mobile security - complete if applicable</t>
  </si>
  <si>
    <t>Mobile Application security</t>
  </si>
  <si>
    <t>Does the mobile technology ensure the following?
1) Mobile applications must be penetration tested prior to deployment to ensure that all the 'back doors' in the code have been removed
2) Code obfuscation is performed to ensure that the application cannot be reverse engineered
3) The application is digitally signed to ensure integrity check
4) All SSL certificates used by the technology are Old Mutual issued (Security Operations). Also, ensure that cipher specification of the certificates ensures confidentiality and integrity.
5) There must be end to end encryption.
6) Any confidential data (credentials / profile data / card data / encryption keys) that is stored locally on the device must be encrypted
7) All encryption keys used must be according to OMEM standards
8) Proper exception handling must be enforced, i.e. error messages sent to the user must not reveal any data about the system that can be used to exploit it.
9) All other applications on the mobile device that the application will have access to, i.e. Contact List -  the application must allow the client to give consent because it will be accessing personal information. This can be linked in the Privacy Policy or Terms and Conditions.
10) Profile registration must use out of band method
11)Application source code must be securely managed and stored in a library</t>
  </si>
  <si>
    <t>Authentication</t>
  </si>
  <si>
    <t>Password Reset</t>
  </si>
  <si>
    <t xml:space="preserve">Password and Login Controls </t>
  </si>
  <si>
    <t>Mobile Application Management</t>
  </si>
  <si>
    <t>Does the technology ensure the following controls: 
1) Application performance monitoring
2)  Crash log reporting
3) Remote wipe functionality
4) Process to de-link lost or stolen devices
5) Controls must be in place for when the user removes the application from the device. The device profile should be deleted from the back end systems.
6 )Mobile application store must be managed and maintained to ensure that only known applications are available</t>
  </si>
  <si>
    <t>Terms and Conditions</t>
  </si>
  <si>
    <t>1) Terms and conditions of Mobile application use must include awareness of safe use of mobile devices
2) users should be made aware of the responsibility to report lost and/or stolen devices so that the relevant profiles can be removed from the back end systems.</t>
  </si>
  <si>
    <t>Fraud Transactional Monitoring</t>
  </si>
  <si>
    <t>1) Mobile applications must be integrated to an appropriate fraud transactional monitoring system</t>
  </si>
  <si>
    <t>OS Compatibility</t>
  </si>
  <si>
    <t>2) The application is compatible with older version of the mobile operating systems only if security is not compromised.</t>
  </si>
  <si>
    <t>Third Party Hosting- complete if applicable also refer to 3rd party toolkit</t>
  </si>
  <si>
    <t>Third party server hosting</t>
  </si>
  <si>
    <t>Ensure that the SLA or MSA addresses the following aspects:
- Confidentiality clauses or Non-disclosure agreements 
- Protection of information
- Indemnity of Liability
- Access to logs
- Destruction or returning of data
- Change Management (CIA principles)
-Incident Management (Breaches)
- Quantitative and qualitative metrics for measuring the service
Any security requirements or agreements between Old Mutual and the third party must automatically extend to any sub-contractors that are contracted to provide services.</t>
  </si>
  <si>
    <t>Externally owned devices (Contractors and 3rd parties) - This section is out of scope for the purposes of this review</t>
  </si>
  <si>
    <t>SLA’s and NDA’s</t>
  </si>
  <si>
    <t>Ensure that the SLA or MSA addresses the following aspects:
- Confidentiality clauses or Non-disclosure agreements 
- Protection of information
- Indemnity of Liability
- Access to logs
- Destruction or returning of data
- Change Management (CIA principles)
-Incident Management (Breaches)
- Quantitative and qualitative metrics for measuring the service
Any security requirements or agreements between Old Mutual and the third party must automatically extend to any sub-contractors that are contracted to provide services.</t>
  </si>
  <si>
    <t>Network Security</t>
  </si>
  <si>
    <t>Network segregation and isolation must be enforced. This must ensure that connected device is not connected to multiple networks allowing for bridging.</t>
  </si>
  <si>
    <t>Encryption</t>
  </si>
  <si>
    <t xml:space="preserve">Ensure that all external communication with Old Mutual networks is  encrypted with an appropriate encryption cipher, eg, SSL. </t>
  </si>
  <si>
    <t>Remote Access</t>
  </si>
  <si>
    <t>Ensure that all mobile devices connect via VPN to the Old Mutual  network.</t>
  </si>
  <si>
    <t>Device Security</t>
  </si>
  <si>
    <t>The following requirements must be met
- ActiveSync must be used for all non OM owned devices
- Remote management of device must be in place e.g. remote wipe
- Access and password / pin management must be in place for access to the device OS
- Hardening device must be in place: 
 a) pin enabled, 
 b) mutual authentication if they connect to the backend external system, 
 c) SSL when connecting to web server
- There must be an OS and application patching process in place
- Processes to report stolen devices must be in place and black list them
- There must be a process in place to support and manage the application running on it</t>
  </si>
  <si>
    <r>
      <rPr>
        <sz val="12"/>
        <rFont val="Century Gothic"/>
        <family val="2"/>
      </rPr>
      <t>Does the solution ensure that procedures and controls are in place to protect the transfer of information through the use of all types of communication facilities?</t>
    </r>
    <r>
      <rPr>
        <i/>
        <sz val="12"/>
        <rFont val="Century Gothic"/>
        <family val="2"/>
      </rPr>
      <t xml:space="preserve">
</t>
    </r>
  </si>
  <si>
    <r>
      <t>66) Is the solution capable of implementing</t>
    </r>
    <r>
      <rPr>
        <i/>
        <sz val="12"/>
        <color theme="1"/>
        <rFont val="Century Gothic"/>
        <family val="2"/>
      </rPr>
      <t xml:space="preserve"> Role-based Access Control Mechanisms.</t>
    </r>
  </si>
  <si>
    <r>
      <t xml:space="preserve">Is there adequate authentication mechanisms in place and has the following been considered?
</t>
    </r>
    <r>
      <rPr>
        <sz val="12"/>
        <rFont val="Century Gothic"/>
        <family val="2"/>
      </rPr>
      <t xml:space="preserve">1) Mobile application authentication credentials must be sent securely from the mobile application to Old Mutual back end servers during the authentication
2) The IMEI, MSISDN and IMSI in conjunction with the CSP/PIN/Password must be used to authenticate to the back end systems every time the user logs in. This ensures device authentication. 
3) Mobile applications should not send authentication details to 3rd party applications (such as Twitter, Facebook and Instagram)
</t>
    </r>
    <r>
      <rPr>
        <sz val="12"/>
        <color theme="1"/>
        <rFont val="Century Gothic"/>
        <family val="2"/>
      </rPr>
      <t xml:space="preserve">
</t>
    </r>
  </si>
  <si>
    <r>
      <rPr>
        <sz val="12"/>
        <rFont val="Century Gothic"/>
        <family val="2"/>
      </rPr>
      <t>Password reset:
1) Password reset process must be secure i.e., passwords that are reset are sent to only the authorised user. 
2) Passwords must be changed of first login. 
3) The following aspects of password reset must be considered: 
4)Are we using the email address / cellphone number to send passwords during resets? 
5)Are we ensuring that the entered email address / cellphone number is valid i.e. what happens when they can’t retrieve the password? 
6) Do they have to call the call centre if they want to reset their passwords and if yes, are they authenticated securely by the call centre agent?</t>
    </r>
    <r>
      <rPr>
        <sz val="12"/>
        <color rgb="FF3366FF"/>
        <rFont val="Century Gothic"/>
        <family val="2"/>
      </rPr>
      <t xml:space="preserve">
</t>
    </r>
  </si>
  <si>
    <r>
      <rPr>
        <sz val="12"/>
        <rFont val="Century Gothic"/>
        <family val="2"/>
      </rPr>
      <t>Password and login controls:
1) The password must be masked when entered by the user on the application. 
2) Password complexity has been enabled for the application. 
3) Password history must be enabled.
4)Application must terminate users after a certain period of inactivity.</t>
    </r>
    <r>
      <rPr>
        <sz val="12"/>
        <color rgb="FF3366FF"/>
        <rFont val="Century Gothic"/>
        <family val="2"/>
      </rPr>
      <t xml:space="preserve">
</t>
    </r>
  </si>
  <si>
    <t>Please complete the risk assessment questionnaire below by populating columns E &amp; G.  Column G (justification) is mandatory for all "Fully compliant" and "Partially compliant" responses.
For "High" risk solutions, please refer to Appendix A for supporting assessment documentation / evidence required.</t>
  </si>
  <si>
    <t xml:space="preserve"> 50) How is access to network folders, containing restricted/ confidential information restricted?</t>
  </si>
  <si>
    <t>91) Which Operating systems and Database versions is being used</t>
  </si>
  <si>
    <t>81) How long are logs retained for ?</t>
  </si>
  <si>
    <t xml:space="preserve">Has QAG been engaged? </t>
  </si>
  <si>
    <t>Incident management requirements</t>
  </si>
  <si>
    <t>Security requirements</t>
  </si>
  <si>
    <t>Financial Management requirements</t>
  </si>
  <si>
    <t>Capacity requirements</t>
  </si>
  <si>
    <t>Availability requirements</t>
  </si>
  <si>
    <t>Regulatory requirements</t>
  </si>
  <si>
    <t xml:space="preserve">IT Service continuity management </t>
  </si>
  <si>
    <t>IT Recovery Plan</t>
  </si>
  <si>
    <t>If yes, has a solution architecture document been received</t>
  </si>
  <si>
    <t>Are any risks identified for the design of the solution</t>
  </si>
  <si>
    <t>Has an Architectural Group Review been held to approve the design?</t>
  </si>
  <si>
    <t>Is the solution supported by a vendor</t>
  </si>
  <si>
    <t xml:space="preserve">e.g. application software hosting, hardware/software, infrastructure, data storage facilities, staffing etc. </t>
  </si>
  <si>
    <t>Does agreements with vendors include requirements to address the information security risks associated with information and communications technology services?</t>
  </si>
  <si>
    <r>
      <rPr>
        <i/>
        <sz val="10"/>
        <color theme="1"/>
        <rFont val="Century Gothic"/>
        <family val="2"/>
      </rPr>
      <t>If yes has the non functional requirements been completed</t>
    </r>
    <r>
      <rPr>
        <sz val="10"/>
        <color theme="1"/>
        <rFont val="Century Gothic"/>
        <family val="2"/>
      </rPr>
      <t>?</t>
    </r>
  </si>
  <si>
    <t>1) Does the solution interface with existing data sources and systems?
2) Does the system ensure that integrity and validation controls are in place for all new interfaces into and out of the infrastructure?
3) Does the system ensure that new batch jobs and applications interfaces into and out of the application / infrastructure are documented?</t>
  </si>
  <si>
    <t xml:space="preserve">Is appropriate procedures implemented, for the solution to ensure compliance with legislative, regulatory and contractual requirements, related to intellectual property rights and use of propriety software
</t>
  </si>
  <si>
    <t>Basic and Strong Authentication</t>
  </si>
  <si>
    <t>Is systems under development (including application software packages, system software, hardware, communications and services)  tested in a testing area that simulates the live environment, before the system is promoted to the live environment?</t>
  </si>
  <si>
    <t xml:space="preserve">73) Has unit, integration and stress testing been performed by the developers prior to user acceptance testing? </t>
  </si>
  <si>
    <t>74) Has UAT Testing been performed?</t>
  </si>
  <si>
    <t>Pre Assessment</t>
  </si>
  <si>
    <t>Yes/No</t>
  </si>
  <si>
    <t xml:space="preserve">a) Is data at rest and in transit adequately protected as per Old Mutual's encryption policy? (AES 256 bit, RSA 256 bit), 
</t>
  </si>
  <si>
    <t>b) Is of passwords hashed using the Old Mutual minimum standard (SHA2 256 bit)?</t>
  </si>
  <si>
    <t>Data Security</t>
  </si>
  <si>
    <t xml:space="preserve">2) Has data owners been identified for the data being used by this solution? </t>
  </si>
  <si>
    <t>Secure Networks</t>
  </si>
  <si>
    <t>1)Will any data that is created, modified, processed, or stored be subject to regulation? Is the solution creating, processing modifying or storing CONFIDENTIAL or RESTRICTED data, that is subject to regulation?</t>
  </si>
  <si>
    <t>a) Are only authorised software and licenced products used, and the correct amount are maintained to support business requirements.</t>
  </si>
  <si>
    <t xml:space="preserve">28 ) Will any business or customer data be transferred between the organization and external parties? If yes,
</t>
  </si>
  <si>
    <t>a) Does the technology ensure that the integrity of data in transit is protected by using secure mechanisms such as (SFTP, TLS) etc</t>
  </si>
  <si>
    <t xml:space="preserve">37. Is the use of operational databases containing personal information or any other sensitive information for testing purposes in use?
a) If personal or otherwise sensitive information is used for testing purposes, are all sensitive details and content should be removed or modified beyond recognition before use. 
</t>
  </si>
  <si>
    <t>41) If not an OM data centre?
a) How is access controlled to the infrasructure?
b) What other physical security controls are in place? e.g. CCTV, biometrics etc.
c) Are visitors required to sign in, and are escorted at all times in the data centre?</t>
  </si>
  <si>
    <t xml:space="preserve">If yes?
45) Provide a roles and responsibilities matrix of various roles assigned to users (i.e. privileges associated with roles)? (eg.  system administrator, general user, maintenance staff, supervisor, etc)
</t>
  </si>
  <si>
    <t xml:space="preserve">54) Is operating system, database, network authentication or authorisation integrated with an approved authentication and authorisation mechanism, eg. Active Directory </t>
  </si>
  <si>
    <t>56) Are username and password credentials required to access this solution?</t>
  </si>
  <si>
    <t xml:space="preserve">62) Does the technology (Operating system, database, application, network) cater for password management according to the OMEM Identity and access management policy?
</t>
  </si>
  <si>
    <t xml:space="preserve">67) Are any financial transactions conducted in the system?
Is sufficient segregation of roles present such that any change perfomed by one staff member is vetted by another staff member/manager before processed?
 </t>
  </si>
  <si>
    <t>77) Is CIS benchmarks applied to the solutions infrastructure?</t>
  </si>
  <si>
    <t xml:space="preserve">78)  Is event audit logs are enabled and does it include the following?
a) user ID's
b) system activities
c) dates, times and details of key events, e.g. log-on and log-off
d) device identity or location if possible and system identifier
e) records of successful and rejected system access attempts
f) records of successful and rejected data and other resource access attempts
g) changes to system configuration
i)  use of privileges
</t>
  </si>
  <si>
    <t xml:space="preserve">82) Are system administrator and system operator activities logged? 
a) the time at which an event (success or failure) occurred; 
b) information about the event (e.g. files handled) or failure (e.g. error occurred and corrective action taken); 
c) which account and which administrator or operator was involved; 
d) which processes were involved. 
</t>
  </si>
  <si>
    <t>79) Is  alerts  generated and monitored on suspicious access events.</t>
  </si>
  <si>
    <t xml:space="preserve">79) Are there users  with access to delete audit logs? 
</t>
  </si>
  <si>
    <t>Privilege Management</t>
  </si>
  <si>
    <t xml:space="preserve">86) Does the solution cater for availability requirements?
a) What is the MTO?
</t>
  </si>
  <si>
    <t xml:space="preserve"> Has the DR capability been tested - (capacity monitoring) and downtime), before implementation and signoff</t>
  </si>
  <si>
    <t>87) What is the dependancy on current legacy IS systems (availability and DR) and does the above cater for RTO and RPO defined by business?</t>
  </si>
  <si>
    <t>88) What redundancy is built into the system</t>
  </si>
  <si>
    <t>89) What resiliency is built in from a DR perspective?</t>
  </si>
  <si>
    <t>90) Will there be an alternate site in the event of a disaster?</t>
  </si>
  <si>
    <t xml:space="preserve">91) What specific equipment will be required at the alternate site for DR and the business user
</t>
  </si>
  <si>
    <t xml:space="preserve">92) Is a formalised back up policy is in place. </t>
  </si>
  <si>
    <t>Backup Management</t>
  </si>
  <si>
    <t>94) Are formal back up restore testing procedures are in place and occurs on a periodic basis?</t>
  </si>
  <si>
    <t xml:space="preserve">95) Is  daily back-ups are collected by an outsourced provider and stored off-site at their secure location.
</t>
  </si>
  <si>
    <t xml:space="preserve">97) The back-up tapes are dated and a register of the tapes and back-ups is kept. </t>
  </si>
  <si>
    <t xml:space="preserve">98)  How is access controlled to back-ups? Are they password protected/encrypted
</t>
  </si>
  <si>
    <t>Has Security Architecture been engaged?</t>
  </si>
  <si>
    <t>Has contracts and sourcing been engaged ?</t>
  </si>
  <si>
    <t xml:space="preserve">Has the relevant MSA's, NDA's, SLA's, PPI agreements been considered if applicable.
</t>
  </si>
  <si>
    <t xml:space="preserve">Does the contracts cover support to the solution as follows:
1) Internally - support roles and responsibilities have been defined and agreed upon and skills are available to provide on-going support.
2) Vendor -  the product is under full mainstream support from the vendor
</t>
  </si>
  <si>
    <t>Risk Assessment questionnaire for "Medium" risk solutions</t>
  </si>
  <si>
    <t xml:space="preserve">26) Are there remote users that will make use of this solution? 
</t>
  </si>
  <si>
    <t>3) Where are is this data stored?</t>
  </si>
  <si>
    <t>52) Is access to privileged accounts monitored and tracked through  time-stamped logs of all user activity.</t>
  </si>
  <si>
    <t xml:space="preserve">71) Are development, test, and operational facilities separated to reduce the risks of unauthorized access or changes to the operational system?
</t>
  </si>
  <si>
    <t xml:space="preserve">92) What other applications is being used (e.g. IIS)
</t>
  </si>
  <si>
    <t>97) Does it identify the following:
b) activity typically associated with malware or traffic originating from known, malicious IP adresses or network domains.
c) known attack characteristics (e.g denial of service)
d) unusual or anomalous system behaviour (e.g. keystroke logging amd deviation in the use of standard protocols)
e) unauthorised access (actual or attempted) to systems or information
Does it have the capability to? 
f) updated automatically and within defined timescales (e.g. delivery of distribution attacks signature files to intrusion detection sensors via a central management console
g) Alerts are sent via email, sms etc in the event that an activity is detected</t>
  </si>
  <si>
    <t>3) Is there a data lifecycle management process in place</t>
  </si>
  <si>
    <t>Authenticated Information access</t>
  </si>
  <si>
    <t xml:space="preserve">71)Is version control software is used to co-ordinate changes to source code and the transfer of code between development, testing and production environments.
</t>
  </si>
  <si>
    <t xml:space="preserve">89) Is  vulnerability scanning is performed from the internal network and also externally facing devices?
</t>
  </si>
  <si>
    <t xml:space="preserve">98) If the solution is public facing is an iiterative cycle of penetration testing performed?
</t>
  </si>
  <si>
    <t xml:space="preserve">70) Is access to program source code and related items strictly controlled from unauthorised modification
</t>
  </si>
  <si>
    <t>Identity access management lifecycle</t>
  </si>
  <si>
    <t>A.18.1.2/ 45</t>
  </si>
  <si>
    <t xml:space="preserve">A.8.3.2/ 48
</t>
  </si>
  <si>
    <t xml:space="preserve">5) Is information being hosted by an external provider? 
</t>
  </si>
  <si>
    <r>
      <rPr>
        <sz val="12"/>
        <rFont val="Century Gothic"/>
        <family val="2"/>
      </rPr>
      <t xml:space="preserve">Does the solution interface with other critical systems and is adequate validation controls and exception handling in place to fail securely and protects Old Mutual from being exposed to increased risk?
</t>
    </r>
    <r>
      <rPr>
        <sz val="12"/>
        <color theme="1"/>
        <rFont val="Century Gothic"/>
        <family val="2"/>
      </rPr>
      <t xml:space="preserve">
</t>
    </r>
  </si>
  <si>
    <t xml:space="preserve">Is the following from data centres hosting OMEM information considered:
39) Who is managing the infrastructure and applications? Where is the primary and secondary site?
</t>
  </si>
  <si>
    <t>Is the allocation and use of privileged access rights restricted and controlled?</t>
  </si>
  <si>
    <t>Access to program source code and related items is strictly controlled</t>
  </si>
  <si>
    <t>A.12.3.1</t>
  </si>
  <si>
    <t>Is backup copies of information, software and system images taken and tested regularly in accordance with an agreed backup policy</t>
  </si>
  <si>
    <t xml:space="preserve">6) Has system development been outsourced,
</t>
  </si>
  <si>
    <t xml:space="preserve"> 7) Has Old Mutual been declared the sole license owner and intellectual property owner of the system?</t>
  </si>
  <si>
    <t>8) Has escrow agreements between the vendor and Old Mutual been considered</t>
  </si>
  <si>
    <t>5) Does the solution require development? If yes, Also refer to (Software development and code management section below)</t>
  </si>
  <si>
    <t>Control requirement</t>
  </si>
  <si>
    <t>The Service Provider shall establish an information security policy that:
a) Includes or provides a framework for establishing information security objectives within the service provider's organisation.
b) Is assigned to a responsible owner, centrally stored, published, reviewed, maintained and communicated within the service provider's organisation.
c) Is approved by top management.</t>
  </si>
  <si>
    <t>The Service Provider shall ensure that information security risks have a defined risk owner and accountable mitigation action owner.</t>
  </si>
  <si>
    <t>Where access cards/tags are used to enter the Service Provider's premises where client information is stored / processed, a formal process must be implemented to manage lost cards/tags.</t>
  </si>
  <si>
    <t>The Service Provider shall test the BCP at least annually.</t>
  </si>
  <si>
    <t>The Service Provider shall designate competent individuals or a competent team who will have responsibility and accountability for the implementation of its information security strategy and programme. They shall manage information security risks (including cybersecurity risks), ensure that information security issues are properly addressed and respond accordingly in the event of a security breach.</t>
  </si>
  <si>
    <t>The Service Provider shall establish and consistently operate formal information security risk management processes to identify, analyse and assess information security risks throughout the organisation. The ratings of risk should be the product of business impact and probability of occurrence.</t>
  </si>
  <si>
    <t>The Service Provider shall operate and manage a process / programme to ensure that the entire organisation is compliant with its information security policies and standards.</t>
  </si>
  <si>
    <t>The Service Provider shall establish and operate an off-boarding process that includes termination of all system access, return of all assets that may contain information relating to the organization's customers including but not limited to memory sticks, books, correspondence, files, statistics, papers, reports, minutes, plans, records, surveys, diagrams, computer print-outs, computer disks, CDs, audio tapes, manuals, customer documentation, physical access cards and removal of biometric access to facilities where applicable.</t>
  </si>
  <si>
    <t>The Service Provider shall establish and operate a formal process for the resetting of user passwords and the unlocking of user accounts.</t>
  </si>
  <si>
    <t xml:space="preserve">The Service Provider shall ensure the following aspects are documented in one of the service provider's security-related policies:
• Approval and provisioning of new user access and modifications to existing user access;
• Timely de-provisioning/revocation of user access and;
• Periodic review of user access rights by management.
</t>
  </si>
  <si>
    <t>The Service Provider shall establish appropriate patch management procedures to remain current with platform security fixes.</t>
  </si>
  <si>
    <t>The Service Provider shall establish and communicate plans to respond to information security / cybersecurity incidents as well as IT continuity disruptions (e.g. disasters, outages or accidents). These plans shall be documented, tested and applied. Personnel responsible for operating the processes shall be adequately trained.</t>
  </si>
  <si>
    <t>V1.0</t>
  </si>
  <si>
    <t>Information Security</t>
  </si>
  <si>
    <t>Kurt Dodgen</t>
  </si>
  <si>
    <t>Data Centre Service Provider Minimum Information Security Requirements</t>
  </si>
  <si>
    <t>Comments</t>
  </si>
  <si>
    <t>Nr</t>
  </si>
  <si>
    <t>V1.1</t>
  </si>
  <si>
    <t>Sindi Mkwanazi</t>
  </si>
  <si>
    <t>All physical IT environments (production and disaster recovery) where NESS production information is processed or stored shall be have the following environmental controls in place:
- Access to the physical location where the data/infrastructure is hosted is restricted to only authorised individuals
- Access to the physical location must be managed via a standard access management process for granting, modifying, revoking and reviewing access
- Access is controlled via card access or biometrics
- Environmental controls in place within the data centre including Fire suppression, air conditioning, raised flooring, UPS, backup generators
- Visitors are required to sign in and are escorted at all times while in the data centre
- Reports or certifications available to verify the security posture of the data centre (e.g. ISO certifications, ISAE 340Type II reports)</t>
  </si>
  <si>
    <t>Access to NESS data stored on cloud systems shall be restricted and controlled to prevent unauthorised access by parties related to the hosting company.</t>
  </si>
  <si>
    <t>Third parties who store or process  sensitive NESS information shall retain data within the bounds of a mutually agreed data retention schedule. Data shall be deleted from third party systems as soon as the retention period expires.</t>
  </si>
  <si>
    <t>Third parties (including cloud service providers) who store or process NESS data shall follow a defined and tested cyber security incident response process.</t>
  </si>
  <si>
    <t>NESS shall be the sole owner of source code or intellectual property for custom-developed systems by third party service providers for NESS.</t>
  </si>
  <si>
    <t>Third parties who store or process NESS personal information shall sign a PPI operator agreement with NESS.</t>
  </si>
  <si>
    <t>Contracts between NESS and third parties shall oblige the third party to notify NESS as soon as possible in the event of a security breach that affects NESS information.</t>
  </si>
  <si>
    <t>It shall be contractually enforced that the NESS information owner shall formally approve each time that NESS information is transmitted to external entities for storage or processing.</t>
  </si>
  <si>
    <t>Third parties who store or process NESS information shall provide evidence of their organisation's information security control effectiveness.</t>
  </si>
  <si>
    <t>Third parties who store or process NESS information shall be contractually bound to protect NESS information in line with NESS's minimum information security requirements.</t>
  </si>
  <si>
    <t>The Service Provider shall integrate its information security requirements in contracts with its subcontractors (especially those who store or process NESS information on behalf of the service provider).</t>
  </si>
  <si>
    <t xml:space="preserve">The Service Provider shall communicate mandatory requirements for the acceptable use of information assets to its employees, particularly those employees that access its NESS Information.  These requirements should:
• Define appropriate use of communications channels and devices used to transmit customer information;                                                                                                                            
• Define appropriate use of the Internet, including prohibiting the transfer of customer information to personal email accounts or unauthorised cloud based storage;
• Include responsibilities relating to downloading, installing and use of unauthorised or illegal software or material to process customer information; and
• Make clear statements about the consequences of non-compliance or breach of these requirements.
</t>
  </si>
  <si>
    <t>The Service Provider shall ensure that any media used to record, store or process NESS information as part of the services, including (but not limited to) hard copy output, laptops, USB sticks, CDs, or other magnetic media are issued with the appropriate authorisation, securely transported, encrypted and securely wiped and disposed of when no longer required.</t>
  </si>
  <si>
    <t>The Service Provider shall establish a standard / procedure for the usage, protection and lifetime of cryptographic keys used to encrypt sensitive information of its customers (in this case, NESS information).</t>
  </si>
  <si>
    <t xml:space="preserve">The Service Provider shall ensure that:
• Appropriate security perimeters are in place to protect areas containing sensitive or critical NESS Information and information processing facilities;
• Access to these areas are restricted to authorised personnel only through appropriate physical access control mechanisms such as access cards, biometric access, etc.;
• Access to these areas are monitored on a regular basis;
• Requests for access to these areas are formally approved by management and;
• Terminated personnel's access is disabled or removed in a timely manner.
</t>
  </si>
  <si>
    <t>The Service Provider shall establish a sign-in procedure for any visitors to the premises where sensitive NESS Information is stored / processed.</t>
  </si>
  <si>
    <t xml:space="preserve">The Service Provider shall ensure that critical equipment used to support the services provided to NESS are protected from:
• Environmental threats and hazards through fire detection equipment (e.g. smoke detectors), fire suppressant equipment (e.g. fire extinguishers), temperature control (e.g. air-conditioning) as well as raised flooring and server racks and; 
• Power failures and disruptions through generators and uninterruptible power supplies (UPS).
 The protection equipment must be regularly tested, serviced and maintained.
</t>
  </si>
  <si>
    <t>The Service Provider shall ensure that power and telecommunications cabling carrying NESS information or supporting information services are protected from interception, interference or damage.</t>
  </si>
  <si>
    <t xml:space="preserve">The Service Provider shall establish a backup policy / procedure outlining:
• The backup of client information (including NESS information) at scheduled intervals;
• Monitoring of the backup status;
• Backup retention periods;
• Backup types (full or incremental);
• Media cycles and labelling; and
• A testing schedule.
</t>
  </si>
  <si>
    <t>The Service Provider shall ensure that technical vulnerabilities of systems (including networks) used to process NESS information are identified and that appropriate measures are taken to mitigate the associated risks.</t>
  </si>
  <si>
    <t>The Service Provider shall ensure that regular penetration testing is carried out on public-facing systems where NESS data is stored or processed.</t>
  </si>
  <si>
    <t>The Service Provider shall provide NESS an executive summary of the results of penetration testing and shall take action on the recommendations in timescales commensurate with the associated risks.</t>
  </si>
  <si>
    <t xml:space="preserve">The Service Provider shall ensure that firewalls are implemented for both internal and external traffic to the systems where NESS information is stored or processed. The service provider shall also ensure that:
• Firewall platforms are hardened;
• Penetration tests of firewall protected network connections are conducted by trained personnel on a regular basis;
• Firewalls have real-time logging and alerting capabilities;
• Intrusion detection systems are implemented;
• Access lists are implemented on network routers to restrict access to sensitive internal networks or servers.
</t>
  </si>
  <si>
    <t>The Service Provider shall establish a policy and supporting security measures to manage the risks associated with using mobile devices for the delivery of its services to NESS.</t>
  </si>
  <si>
    <t>The Service Provider shall establish a policy to govern the secure development of software and systems that store or process NESS information, whether in-house developed or outsourced.</t>
  </si>
  <si>
    <t>The Service Provider shall ensure that change control procedures (including emergency change control) are established and communicated.  The Service Provider shall notify NESS of any changes that may adversely impact on the confidentiality, integrity or availability of NESS information.</t>
  </si>
  <si>
    <t>The Service Provider shall ensure that security control requirements are considered for all system changes relating to the provision of Services to NESS and that these changes are tested prior to implementation in accordance with acceptance testing programs.</t>
  </si>
  <si>
    <t>The Service Provider shall fulfil NESS’s Recovery Time Objectives, Recovery Point Objectives and Maximum Tolerable Outage times, as defined in the respective agreements.</t>
  </si>
  <si>
    <t>The Service Provider shall ensure that a documented Business Continuity Plan (BCP) is in place in relation to the provision of Services to NESS. The plan shall set out how business operations shall be restored following an interruption to or failure of business processes within a time period agreed to be acceptable by NESS.</t>
  </si>
  <si>
    <t>The Service Provider shall review and update their BCP at least annually and inform NESS of any major updates that could adversely impact the service delivery.</t>
  </si>
  <si>
    <t>The Service Provider shall establish appropriate retention and secure destruction policies and/or procedures for all NESS information held by the Service Provider, to ensure that NESS information is retained for no longer than necessary and is protected from unauthorised or unlawful processing. Where the Service Provider is acting as a PPI Operator to NESS, they must act only in accordance with NESS’s instructions on retention and destruction.</t>
  </si>
  <si>
    <t>The Service Provider shall not store any sensitive NESS information on cloud-based document management systems (e.g. Dropbox, Box or Google Drive).</t>
  </si>
  <si>
    <t>Fully compliant</t>
  </si>
  <si>
    <t>N/a</t>
  </si>
  <si>
    <t>-To access Hetzner Data Centre special permission has to be granted from Sautech. Access needs to be added on a biometric system from Hetzner and additional info to be added on Sautech Portal.          -Additonal PDF is attached for the ISO certification</t>
  </si>
  <si>
    <t>All schedule retentian data has been specified between Ness and Sautech via agreement or quote. Older data is deleted.</t>
  </si>
  <si>
    <t>Agreement between Ness and Sautech</t>
  </si>
  <si>
    <t>Partially compliant</t>
  </si>
  <si>
    <t>SLA agreement between Ness and Sautech</t>
  </si>
  <si>
    <t xml:space="preserve">Dedicated individual has been assigned to Ness for all mentioned. </t>
  </si>
  <si>
    <t>In progress with agreement between Sautech and Ness</t>
  </si>
  <si>
    <t>-All new or existing access is specified by specific individuals assigned by Ness Management</t>
  </si>
  <si>
    <t>Ness don’t have physical access to Hetzner Data Center. Access can be provided with a dedicated Data Center Technician from Sautech to accompany Ness</t>
  </si>
  <si>
    <t>-All Ness information is on a daily/weekly/montly backup system as agreed on between Sautech and Ness</t>
  </si>
  <si>
    <t>Checkpoint Firewalls are in place with special policies applied internal and external</t>
  </si>
  <si>
    <t>-Test invironment is in place before implomenting in live production</t>
  </si>
  <si>
    <t>All stored information is on dedicated hardware assigned to Ness</t>
  </si>
  <si>
    <t>Lukas, I think you need to clarify beyond the user access. Availability of firewalls and your security policy in general</t>
  </si>
  <si>
    <t>I think lets stick to the agreement in this regard and furthermore specify that there is a data deletion agreed for all data that has passed retention period</t>
  </si>
  <si>
    <t>I am waiting for feedback</t>
  </si>
  <si>
    <t>Lets make this compliant, specify that the PPI Operator agreement between NESS and Sautech covers that whenever a situation of needing third party this requirement will be considered</t>
  </si>
  <si>
    <t>It is in the agreement, in case you guys decide to host on some else servers outside your data center or country. Mubs need to agree before you guys can host anywhere else other than the data centers we know</t>
  </si>
  <si>
    <t>Give Reasons why you saying partially compliant chief</t>
  </si>
  <si>
    <t>Give Reasons why you saying fully compliant chief</t>
  </si>
  <si>
    <t>NESS has an encryption policy, don’t you guys have one? This is managed by that policy and through tools you mentioned</t>
  </si>
  <si>
    <t>This statement is based on general access. Clarify how the perimeter of the servers is protected and procedures to access the servers as explanation. Status is compliant</t>
  </si>
  <si>
    <t>See above for explanation and status is compliant</t>
  </si>
  <si>
    <t>I think here they need a clear step by step procedure, like booking up to biometric system to enter the premises</t>
  </si>
  <si>
    <t>The disaster recovery plan is documented I believe on your side, please confirm and updated reasons accordinngly</t>
  </si>
  <si>
    <t>I think you need to specify as per your observation the environment that which of these exist</t>
  </si>
  <si>
    <t>Please specify frequency, regular is too open and they might come back</t>
  </si>
  <si>
    <t>We will tackle this one</t>
  </si>
  <si>
    <t>This one too</t>
  </si>
  <si>
    <t>You guys don’t use mobile devices to offer us services</t>
  </si>
  <si>
    <t>Please  give reasons</t>
  </si>
  <si>
    <t>Please support with reasons the status</t>
  </si>
  <si>
    <t>Are you saying that you guys do not have a documented BCP?</t>
  </si>
  <si>
    <t>You recently tested th DR so this must be compliant</t>
  </si>
  <si>
    <t>Commets</t>
  </si>
  <si>
    <t>All Data Center firewall policys will allso be provided and adjustments will be done if needed</t>
  </si>
  <si>
    <t>No Problem</t>
  </si>
  <si>
    <t xml:space="preserve">Not all new policys has been implemented at Ness. </t>
  </si>
  <si>
    <t>Access to all data / phyical access is removed to users if not needed</t>
  </si>
  <si>
    <t>All Data is removed when not applicable to Ness operations. Can also be specified in Agreement between Ness and Sautech</t>
  </si>
  <si>
    <t>Maintanance is being done on a random basis. All hardware  / software is being tested offsite and only if tests is successful then Ness operations is scheduled to be under maintanaince</t>
  </si>
  <si>
    <t>All depends, You use your mobile device to the Exchange mail server. Not sure if it applies to the question</t>
  </si>
  <si>
    <t xml:space="preserve">When downtime needs to happen, Ness will be notified acourdingly and in advanced, exept where DR has been implemented. </t>
  </si>
  <si>
    <t>All patches has been installed after offsite testing of pathces has been tested and approved</t>
  </si>
  <si>
    <t>Will get back to you regarding the BCP</t>
  </si>
  <si>
    <t>DR testing is done on a 3 months basis for ness servers. Documented insite Sautech operations. DR results / Backup tests will be forwarded to Ness</t>
  </si>
  <si>
    <t>This is the same as point nr 1. Access to hardware</t>
  </si>
  <si>
    <t>No 3rd party assosiated with Sautech</t>
  </si>
  <si>
    <t>Lungile to provide</t>
  </si>
  <si>
    <t>Physical access to the DataCentre needs to be logged threw Sautech. Sautech will arrange access to DataCentre via Email to Hetzner and once approved users need to be added on Sautech portal provided by Hetzner. No access will be given withou a Sautech Technician present, External access to Servers is managed by a onsite Checkpoint Firewall that connect to Checkpoint Firewall at the DataCentre</t>
  </si>
  <si>
    <t>Lungile will respond</t>
  </si>
  <si>
    <t>Hetzner will not allow any access without being added on the biomentric system and mail being send via Sautech. Rack location also needs a pin to be opened and only 3 Sautech employees knows the code, including CEO. Data access is acountable to Ness (application/shared access) and Sautech (Backup management and Data Permissions)</t>
  </si>
  <si>
    <t>Only 3 dedicated Sautech employees including CEO has physical access to hosted servers and knows the combination code to access the cabinet</t>
  </si>
  <si>
    <t xml:space="preserve">Hetzner provides the following: Smoke detectors, foam spray, fire extinguishers per cabinet, air-conditioning insite every rack, raised flooring. Hetzner also provides dual power feeds with UPS per feed and also backup Generators. </t>
  </si>
  <si>
    <t>Valnaribility of systems is being done on a 2 week schedule with pentesting yearly</t>
  </si>
  <si>
    <t xml:space="preserve">All cables are in dedicated trunking provided by the Rack at Hetzner. Cabeling goes directly from hardware to VLAN on Cisco switch for data protection.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</si>
</sst>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x14ac:knownFonts="1">
    <font>
      <sz val="11"/>
      <color theme="1"/>
      <name val="Calibri"/>
      <family val="2"/>
      <scheme val="minor"/>
    </font>
    <font>
      <sz val="11"/>
      <color theme="1"/>
      <name val="Calibri"/>
      <family val="2"/>
      <scheme val="minor"/>
    </font>
    <font>
      <sz val="12"/>
      <color theme="1"/>
      <name val="Calibri"/>
      <family val="2"/>
      <scheme val="minor"/>
    </font>
    <font>
      <b/>
      <sz val="13"/>
      <color theme="1" tint="0.24994659260841701"/>
      <name val="Cambria"/>
      <family val="2"/>
      <scheme val="major"/>
    </font>
    <font>
      <b/>
      <sz val="42"/>
      <color theme="7"/>
      <name val="Cambria"/>
      <family val="2"/>
      <scheme val="major"/>
    </font>
    <font>
      <sz val="14"/>
      <color theme="1" tint="0.24994659260841701"/>
      <name val="Calibri"/>
      <family val="2"/>
      <scheme val="minor"/>
    </font>
    <font>
      <sz val="11"/>
      <color theme="1" tint="0.24994659260841701"/>
      <name val="Cambria"/>
      <family val="2"/>
      <scheme val="major"/>
    </font>
    <font>
      <sz val="10"/>
      <name val="Arial"/>
      <family val="2"/>
    </font>
    <font>
      <sz val="10"/>
      <name val="Times New Roman"/>
      <family val="1"/>
    </font>
    <font>
      <sz val="10"/>
      <name val="MS Sans Serif"/>
      <family val="2"/>
    </font>
    <font>
      <b/>
      <sz val="13"/>
      <color theme="7"/>
      <name val="Cambria"/>
      <family val="2"/>
      <scheme val="major"/>
    </font>
    <font>
      <b/>
      <sz val="9.5"/>
      <color theme="1" tint="0.499984740745262"/>
      <name val="Calibri"/>
      <family val="2"/>
      <scheme val="minor"/>
    </font>
    <font>
      <b/>
      <sz val="11"/>
      <color theme="1" tint="0.24994659260841701"/>
      <name val="Calibri"/>
      <family val="2"/>
      <scheme val="minor"/>
    </font>
    <font>
      <sz val="10"/>
      <color theme="1"/>
      <name val="Century Gothic"/>
      <family val="2"/>
    </font>
    <font>
      <b/>
      <sz val="10"/>
      <color theme="0"/>
      <name val="Century Gothic"/>
      <family val="2"/>
    </font>
    <font>
      <sz val="23"/>
      <color rgb="FF0F735D"/>
      <name val="Century Gothic"/>
      <family val="2"/>
    </font>
    <font>
      <sz val="12"/>
      <color theme="1"/>
      <name val="Century Gothic"/>
      <family val="2"/>
    </font>
    <font>
      <sz val="12"/>
      <color theme="0"/>
      <name val="Century Gothic"/>
      <family val="2"/>
    </font>
    <font>
      <b/>
      <sz val="9"/>
      <color indexed="81"/>
      <name val="Tahoma"/>
      <family val="2"/>
    </font>
    <font>
      <sz val="9"/>
      <color indexed="81"/>
      <name val="Tahoma"/>
      <family val="2"/>
    </font>
    <font>
      <i/>
      <sz val="12"/>
      <color theme="1"/>
      <name val="Century Gothic"/>
      <family val="2"/>
    </font>
    <font>
      <sz val="12"/>
      <color rgb="FFFF0000"/>
      <name val="Century Gothic"/>
      <family val="2"/>
    </font>
    <font>
      <sz val="12"/>
      <color rgb="FF000000"/>
      <name val="Cambria"/>
      <family val="2"/>
    </font>
    <font>
      <sz val="26"/>
      <color rgb="FF5B9F1F"/>
      <name val="Century Gothic"/>
      <family val="2"/>
    </font>
    <font>
      <sz val="20"/>
      <color rgb="FF205041"/>
      <name val="Century Gothic"/>
      <family val="2"/>
    </font>
    <font>
      <b/>
      <sz val="14"/>
      <color rgb="FFFFFFFF"/>
      <name val="Century Gothic"/>
      <family val="2"/>
    </font>
    <font>
      <sz val="14"/>
      <color rgb="FF000000"/>
      <name val="Century Gothic"/>
      <family val="2"/>
    </font>
    <font>
      <b/>
      <sz val="12"/>
      <color theme="0"/>
      <name val="Century Gothic"/>
      <family val="2"/>
    </font>
    <font>
      <sz val="12"/>
      <color indexed="10"/>
      <name val="Century Gothic"/>
      <family val="2"/>
    </font>
    <font>
      <sz val="12"/>
      <name val="Century Gothic"/>
      <family val="2"/>
    </font>
    <font>
      <i/>
      <sz val="12"/>
      <name val="Century Gothic"/>
      <family val="2"/>
    </font>
    <font>
      <sz val="12"/>
      <color rgb="FFFF6600"/>
      <name val="Century Gothic"/>
      <family val="2"/>
    </font>
    <font>
      <sz val="12"/>
      <color rgb="FF3366FF"/>
      <name val="Century Gothic"/>
      <family val="2"/>
    </font>
    <font>
      <sz val="10"/>
      <color theme="0"/>
      <name val="Century Gothic"/>
      <family val="2"/>
    </font>
    <font>
      <b/>
      <sz val="10"/>
      <color theme="1"/>
      <name val="Century Gothic"/>
      <family val="2"/>
    </font>
    <font>
      <i/>
      <sz val="10"/>
      <color theme="1"/>
      <name val="Century Gothic"/>
      <family val="2"/>
    </font>
    <font>
      <u/>
      <sz val="11"/>
      <color theme="11"/>
      <name val="Calibri"/>
      <family val="2"/>
      <scheme val="minor"/>
    </font>
    <font>
      <b/>
      <sz val="20"/>
      <color theme="0"/>
      <name val="Century Gothic"/>
      <family val="2"/>
    </font>
    <font>
      <b/>
      <sz val="20"/>
      <name val="Century Gothic"/>
      <family val="2"/>
    </font>
    <font>
      <sz val="9"/>
      <color indexed="81"/>
      <name val="Calibri"/>
      <family val="2"/>
    </font>
    <font>
      <b/>
      <sz val="9"/>
      <color indexed="81"/>
      <name val="Calibri"/>
      <family val="2"/>
    </font>
    <font>
      <sz val="11"/>
      <color theme="1"/>
      <name val="Century Gothic"/>
      <family val="1"/>
    </font>
    <font>
      <sz val="12"/>
      <color rgb="FF00B0F0"/>
      <name val="Century Gothic"/>
      <family val="2"/>
    </font>
  </fonts>
  <fills count="12">
    <fill>
      <patternFill patternType="none"/>
    </fill>
    <fill>
      <patternFill patternType="gray125"/>
    </fill>
    <fill>
      <patternFill patternType="solid">
        <fgColor theme="6"/>
      </patternFill>
    </fill>
    <fill>
      <patternFill patternType="solid">
        <fgColor theme="9" tint="0.59996337778862885"/>
        <bgColor indexed="64"/>
      </patternFill>
    </fill>
    <fill>
      <patternFill patternType="solid">
        <fgColor rgb="FF008000"/>
        <bgColor indexed="64"/>
      </patternFill>
    </fill>
    <fill>
      <patternFill patternType="solid">
        <fgColor rgb="FF204F3F"/>
        <bgColor rgb="FF000000"/>
      </patternFill>
    </fill>
    <fill>
      <patternFill patternType="solid">
        <fgColor rgb="FF204F3F"/>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0" tint="-0.34998626667073579"/>
        <bgColor indexed="64"/>
      </patternFill>
    </fill>
    <fill>
      <patternFill patternType="solid">
        <fgColor theme="1" tint="0.34998626667073579"/>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bottom style="thin">
        <color theme="7"/>
      </bottom>
      <diagonal/>
    </border>
    <border>
      <left/>
      <right/>
      <top style="thin">
        <color theme="9" tint="-0.24994659260841701"/>
      </top>
      <bottom style="thin">
        <color theme="9" tint="-0.24994659260841701"/>
      </bottom>
      <diagonal/>
    </border>
    <border>
      <left style="thin">
        <color theme="0"/>
      </left>
      <right style="thin">
        <color theme="0"/>
      </right>
      <top style="thin">
        <color theme="0"/>
      </top>
      <bottom style="thin">
        <color theme="0"/>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right/>
      <top/>
      <bottom style="thin">
        <color theme="0"/>
      </bottom>
      <diagonal/>
    </border>
    <border>
      <left/>
      <right style="thin">
        <color theme="0"/>
      </right>
      <top style="thin">
        <color theme="0"/>
      </top>
      <bottom style="thin">
        <color auto="1"/>
      </bottom>
      <diagonal/>
    </border>
    <border>
      <left/>
      <right style="thin">
        <color theme="0"/>
      </right>
      <top style="thin">
        <color auto="1"/>
      </top>
      <bottom/>
      <diagonal/>
    </border>
    <border>
      <left/>
      <right style="thin">
        <color theme="0"/>
      </right>
      <top/>
      <bottom/>
      <diagonal/>
    </border>
    <border>
      <left/>
      <right style="thin">
        <color theme="0"/>
      </right>
      <top/>
      <bottom style="thin">
        <color auto="1"/>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diagonal/>
    </border>
    <border>
      <left/>
      <right/>
      <top/>
      <bottom style="thin">
        <color auto="1"/>
      </bottom>
      <diagonal/>
    </border>
    <border>
      <left style="thin">
        <color auto="1"/>
      </left>
      <right style="thin">
        <color auto="1"/>
      </right>
      <top style="thin">
        <color theme="0"/>
      </top>
      <bottom/>
      <diagonal/>
    </border>
    <border>
      <left style="thin">
        <color auto="1"/>
      </left>
      <right style="thin">
        <color auto="1"/>
      </right>
      <top/>
      <bottom style="medium">
        <color auto="1"/>
      </bottom>
      <diagonal/>
    </border>
    <border>
      <left/>
      <right style="thin">
        <color auto="1"/>
      </right>
      <top/>
      <bottom style="thin">
        <color theme="0"/>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s>
  <cellStyleXfs count="27">
    <xf numFmtId="0" fontId="0" fillId="0" borderId="0"/>
    <xf numFmtId="0" fontId="2" fillId="0" borderId="0"/>
    <xf numFmtId="0" fontId="1" fillId="0" borderId="0"/>
    <xf numFmtId="0" fontId="3" fillId="0" borderId="0" applyFill="0" applyBorder="0" applyProtection="0">
      <alignment horizontal="left"/>
    </xf>
    <xf numFmtId="0" fontId="4" fillId="0" borderId="0" applyNumberFormat="0" applyFill="0" applyBorder="0" applyAlignment="0" applyProtection="0"/>
    <xf numFmtId="0" fontId="5" fillId="0" borderId="0" applyNumberFormat="0" applyFill="0" applyBorder="0" applyProtection="0">
      <alignment horizontal="left" vertical="center"/>
    </xf>
    <xf numFmtId="0" fontId="6" fillId="0" borderId="0" applyNumberFormat="0" applyFill="0" applyBorder="0" applyProtection="0">
      <alignment vertical="center"/>
    </xf>
    <xf numFmtId="0" fontId="7" fillId="0" borderId="0"/>
    <xf numFmtId="0" fontId="8" fillId="0" borderId="0"/>
    <xf numFmtId="0" fontId="7" fillId="0" borderId="0"/>
    <xf numFmtId="0" fontId="9" fillId="0" borderId="0"/>
    <xf numFmtId="0" fontId="8" fillId="0" borderId="0"/>
    <xf numFmtId="0" fontId="7" fillId="0" borderId="0"/>
    <xf numFmtId="9" fontId="10" fillId="0" borderId="0" applyFill="0" applyBorder="0" applyProtection="0">
      <alignment horizontal="center" vertical="center"/>
    </xf>
    <xf numFmtId="3" fontId="11" fillId="0" borderId="2" applyFill="0" applyProtection="0">
      <alignment horizontal="center"/>
    </xf>
    <xf numFmtId="0" fontId="12" fillId="3" borderId="3" applyNumberFormat="0" applyProtection="0">
      <alignment horizontal="left" vertical="center"/>
    </xf>
    <xf numFmtId="0" fontId="11" fillId="0" borderId="0" applyFill="0" applyBorder="0" applyProtection="0">
      <alignment horizontal="center"/>
    </xf>
    <xf numFmtId="0" fontId="6" fillId="2" borderId="4">
      <alignment horizontal="center"/>
    </xf>
    <xf numFmtId="0" fontId="2" fillId="0" borderId="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cellStyleXfs>
  <cellXfs count="209">
    <xf numFmtId="0" fontId="0" fillId="0" borderId="0" xfId="0"/>
    <xf numFmtId="0" fontId="15" fillId="0" borderId="0" xfId="0" applyFont="1" applyAlignment="1"/>
    <xf numFmtId="0" fontId="16" fillId="0" borderId="0" xfId="0" applyFont="1"/>
    <xf numFmtId="0" fontId="16" fillId="0" borderId="0" xfId="0" applyFont="1" applyAlignment="1">
      <alignment wrapText="1"/>
    </xf>
    <xf numFmtId="0" fontId="16" fillId="0" borderId="1" xfId="0" applyFont="1" applyBorder="1" applyAlignment="1">
      <alignment vertical="top" wrapText="1"/>
    </xf>
    <xf numFmtId="0" fontId="16" fillId="0" borderId="1" xfId="0" applyFont="1" applyFill="1" applyBorder="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xf>
    <xf numFmtId="0" fontId="16" fillId="0" borderId="0" xfId="0" applyFont="1" applyAlignment="1">
      <alignment vertical="top" wrapText="1"/>
    </xf>
    <xf numFmtId="0" fontId="22" fillId="0" borderId="0" xfId="0" applyFont="1"/>
    <xf numFmtId="0" fontId="22" fillId="0" borderId="0" xfId="0" applyFont="1" applyFill="1"/>
    <xf numFmtId="0" fontId="0" fillId="0" borderId="0" xfId="0" applyFill="1"/>
    <xf numFmtId="0" fontId="25" fillId="5" borderId="1" xfId="0" applyFont="1" applyFill="1" applyBorder="1"/>
    <xf numFmtId="0" fontId="25" fillId="5" borderId="12" xfId="0" applyFont="1" applyFill="1" applyBorder="1"/>
    <xf numFmtId="0" fontId="26" fillId="0" borderId="9" xfId="0" applyFont="1" applyBorder="1"/>
    <xf numFmtId="0" fontId="26" fillId="0" borderId="13" xfId="0" applyFont="1" applyBorder="1"/>
    <xf numFmtId="14" fontId="26" fillId="0" borderId="13" xfId="0" applyNumberFormat="1" applyFont="1" applyBorder="1"/>
    <xf numFmtId="15" fontId="24" fillId="0" borderId="0" xfId="0" quotePrefix="1" applyNumberFormat="1" applyFont="1"/>
    <xf numFmtId="0" fontId="16" fillId="0" borderId="0" xfId="0" applyFont="1" applyFill="1" applyAlignment="1">
      <alignment vertical="top"/>
    </xf>
    <xf numFmtId="0" fontId="16" fillId="0" borderId="0" xfId="0" applyFont="1" applyAlignment="1">
      <alignment vertical="top"/>
    </xf>
    <xf numFmtId="0" fontId="28" fillId="0" borderId="0" xfId="0" applyFont="1" applyFill="1" applyBorder="1" applyAlignment="1">
      <alignment vertical="center"/>
    </xf>
    <xf numFmtId="0" fontId="28" fillId="0" borderId="0" xfId="0" applyFont="1" applyBorder="1" applyAlignment="1">
      <alignment vertical="center"/>
    </xf>
    <xf numFmtId="0" fontId="16" fillId="0" borderId="0" xfId="0" applyFont="1" applyAlignment="1">
      <alignment horizontal="center" vertical="top" wrapText="1"/>
    </xf>
    <xf numFmtId="0" fontId="16" fillId="0" borderId="9" xfId="0" applyNumberFormat="1" applyFont="1" applyBorder="1" applyAlignment="1">
      <alignment horizontal="right" vertical="top" wrapText="1"/>
    </xf>
    <xf numFmtId="0" fontId="27" fillId="7" borderId="15" xfId="0" applyFont="1" applyFill="1" applyBorder="1" applyAlignment="1">
      <alignment horizontal="center" vertical="top" wrapText="1"/>
    </xf>
    <xf numFmtId="0" fontId="27" fillId="7" borderId="15" xfId="0" applyFont="1" applyFill="1" applyBorder="1" applyAlignment="1">
      <alignment vertical="top" wrapText="1"/>
    </xf>
    <xf numFmtId="0" fontId="27" fillId="7" borderId="0" xfId="0" applyFont="1" applyFill="1" applyBorder="1" applyAlignment="1">
      <alignment horizontal="center" vertical="top" wrapText="1"/>
    </xf>
    <xf numFmtId="0" fontId="27" fillId="7" borderId="0" xfId="0" applyFont="1" applyFill="1" applyBorder="1" applyAlignment="1">
      <alignment vertical="top" wrapText="1"/>
    </xf>
    <xf numFmtId="0" fontId="16" fillId="0" borderId="0" xfId="0" applyFont="1" applyAlignment="1">
      <alignment horizontal="center" vertical="center" wrapText="1"/>
    </xf>
    <xf numFmtId="0" fontId="29" fillId="0" borderId="1" xfId="0" applyFont="1" applyFill="1" applyBorder="1" applyAlignment="1">
      <alignment horizontal="left" vertical="top" wrapText="1"/>
    </xf>
    <xf numFmtId="0" fontId="16" fillId="0" borderId="1" xfId="0" applyFont="1" applyBorder="1" applyAlignment="1">
      <alignment horizontal="center" vertical="top" wrapText="1"/>
    </xf>
    <xf numFmtId="0" fontId="21" fillId="0" borderId="1" xfId="0" applyFont="1" applyBorder="1" applyAlignment="1">
      <alignment vertical="top" wrapText="1"/>
    </xf>
    <xf numFmtId="0" fontId="29" fillId="0" borderId="1" xfId="0" applyFont="1" applyFill="1" applyBorder="1" applyAlignment="1">
      <alignment vertical="top" wrapText="1"/>
    </xf>
    <xf numFmtId="0" fontId="29" fillId="0" borderId="1" xfId="0" applyFont="1" applyBorder="1" applyAlignment="1">
      <alignment vertical="top" wrapText="1"/>
    </xf>
    <xf numFmtId="0" fontId="16" fillId="0" borderId="12" xfId="0" applyFont="1" applyBorder="1" applyAlignment="1">
      <alignment vertical="top" wrapText="1"/>
    </xf>
    <xf numFmtId="0" fontId="16" fillId="0" borderId="1" xfId="0" applyFont="1" applyBorder="1" applyAlignment="1">
      <alignment vertical="top"/>
    </xf>
    <xf numFmtId="0" fontId="31" fillId="0" borderId="1" xfId="0" applyFont="1" applyBorder="1" applyAlignment="1">
      <alignment vertical="top" wrapText="1"/>
    </xf>
    <xf numFmtId="0" fontId="16" fillId="0" borderId="1" xfId="0" quotePrefix="1" applyFont="1" applyFill="1" applyBorder="1" applyAlignment="1">
      <alignment horizontal="left" vertical="top" wrapText="1"/>
    </xf>
    <xf numFmtId="0" fontId="16" fillId="0" borderId="1" xfId="0" quotePrefix="1" applyFont="1" applyBorder="1" applyAlignment="1">
      <alignment vertical="top" wrapText="1"/>
    </xf>
    <xf numFmtId="0" fontId="32" fillId="0" borderId="12" xfId="0" applyFont="1" applyBorder="1" applyAlignment="1">
      <alignment vertical="top" wrapText="1"/>
    </xf>
    <xf numFmtId="0" fontId="32" fillId="0" borderId="1" xfId="0" applyFont="1" applyBorder="1" applyAlignment="1">
      <alignment vertical="top" wrapText="1"/>
    </xf>
    <xf numFmtId="0" fontId="27" fillId="6" borderId="16" xfId="0" applyFont="1" applyFill="1" applyBorder="1" applyAlignment="1">
      <alignment horizontal="center" vertical="top" wrapText="1"/>
    </xf>
    <xf numFmtId="0" fontId="17" fillId="8" borderId="22" xfId="0" applyFont="1" applyFill="1" applyBorder="1" applyAlignment="1">
      <alignment vertical="center" wrapText="1"/>
    </xf>
    <xf numFmtId="0" fontId="17" fillId="8" borderId="23" xfId="0" applyFont="1" applyFill="1" applyBorder="1" applyAlignment="1">
      <alignment vertical="center" wrapText="1"/>
    </xf>
    <xf numFmtId="0" fontId="16" fillId="0" borderId="1" xfId="0" applyFont="1" applyFill="1" applyBorder="1" applyAlignment="1">
      <alignment horizontal="center" vertical="top" wrapText="1"/>
    </xf>
    <xf numFmtId="0" fontId="29" fillId="0" borderId="1" xfId="0" applyFont="1" applyFill="1" applyBorder="1" applyAlignment="1">
      <alignment horizontal="center" vertical="top" wrapText="1"/>
    </xf>
    <xf numFmtId="0" fontId="29" fillId="0" borderId="1" xfId="0" applyFont="1" applyBorder="1" applyAlignment="1">
      <alignment horizontal="center" vertical="top" wrapText="1"/>
    </xf>
    <xf numFmtId="0" fontId="16" fillId="0" borderId="0" xfId="0" applyFont="1" applyAlignment="1">
      <alignment horizontal="center" vertical="top"/>
    </xf>
    <xf numFmtId="0" fontId="16" fillId="0" borderId="1" xfId="0" quotePrefix="1" applyFont="1" applyBorder="1" applyAlignment="1">
      <alignment horizontal="center" vertical="top" wrapText="1"/>
    </xf>
    <xf numFmtId="0" fontId="16" fillId="0" borderId="12" xfId="0" applyFont="1" applyBorder="1" applyAlignment="1">
      <alignment horizontal="center" vertical="top" wrapText="1"/>
    </xf>
    <xf numFmtId="0" fontId="32" fillId="0" borderId="12" xfId="0" applyFont="1" applyBorder="1" applyAlignment="1">
      <alignment horizontal="center" vertical="top" wrapText="1"/>
    </xf>
    <xf numFmtId="0" fontId="32" fillId="0" borderId="1" xfId="0" applyFont="1" applyBorder="1" applyAlignment="1">
      <alignment horizontal="center" vertical="top" wrapText="1"/>
    </xf>
    <xf numFmtId="0" fontId="16" fillId="0" borderId="6" xfId="0" applyNumberFormat="1" applyFont="1" applyBorder="1" applyAlignment="1">
      <alignment vertical="center"/>
    </xf>
    <xf numFmtId="0" fontId="27" fillId="8" borderId="21" xfId="0" applyFont="1" applyFill="1" applyBorder="1" applyAlignment="1">
      <alignment horizontal="center" vertical="center" wrapText="1"/>
    </xf>
    <xf numFmtId="0" fontId="27" fillId="8" borderId="22" xfId="0" applyFont="1" applyFill="1" applyBorder="1" applyAlignment="1">
      <alignment horizontal="center" vertical="center" wrapText="1"/>
    </xf>
    <xf numFmtId="0" fontId="21" fillId="0" borderId="0" xfId="0" applyFont="1" applyAlignment="1">
      <alignment horizontal="left" vertical="top" wrapText="1"/>
    </xf>
    <xf numFmtId="0" fontId="27" fillId="4" borderId="7" xfId="0" applyFont="1" applyFill="1" applyBorder="1" applyAlignment="1">
      <alignment horizontal="center" vertical="top" wrapText="1"/>
    </xf>
    <xf numFmtId="0" fontId="27" fillId="4" borderId="8" xfId="0" applyFont="1" applyFill="1" applyBorder="1" applyAlignment="1">
      <alignment horizontal="center" vertical="top" wrapText="1"/>
    </xf>
    <xf numFmtId="0" fontId="27" fillId="4" borderId="9" xfId="0" applyFont="1" applyFill="1" applyBorder="1" applyAlignment="1">
      <alignment horizontal="center" vertical="top" wrapText="1"/>
    </xf>
    <xf numFmtId="0" fontId="16" fillId="0" borderId="1" xfId="0" applyFont="1" applyFill="1" applyBorder="1" applyAlignment="1">
      <alignment vertical="top" wrapText="1"/>
    </xf>
    <xf numFmtId="0" fontId="16" fillId="0" borderId="7" xfId="0" applyFont="1" applyFill="1" applyBorder="1" applyAlignment="1">
      <alignment horizontal="center" vertical="top" wrapText="1"/>
    </xf>
    <xf numFmtId="0" fontId="16" fillId="0" borderId="8" xfId="0" applyFont="1" applyFill="1" applyBorder="1" applyAlignment="1">
      <alignment horizontal="center" vertical="top" wrapText="1"/>
    </xf>
    <xf numFmtId="0" fontId="16" fillId="0" borderId="9" xfId="0" applyFont="1" applyFill="1" applyBorder="1" applyAlignment="1">
      <alignment horizontal="center" vertical="top" wrapText="1"/>
    </xf>
    <xf numFmtId="0" fontId="16" fillId="0" borderId="7" xfId="0" applyFont="1" applyFill="1" applyBorder="1" applyAlignment="1">
      <alignment vertical="top" wrapText="1"/>
    </xf>
    <xf numFmtId="0" fontId="16" fillId="0" borderId="8" xfId="0" applyFont="1" applyFill="1" applyBorder="1" applyAlignment="1">
      <alignment vertical="top" wrapText="1"/>
    </xf>
    <xf numFmtId="0" fontId="29" fillId="0" borderId="8" xfId="0" applyFont="1" applyFill="1" applyBorder="1" applyAlignment="1">
      <alignment vertical="top" wrapText="1"/>
    </xf>
    <xf numFmtId="0" fontId="16" fillId="0" borderId="9" xfId="0" applyFont="1" applyBorder="1" applyAlignment="1">
      <alignment vertical="top" wrapText="1"/>
    </xf>
    <xf numFmtId="0" fontId="29" fillId="0" borderId="7" xfId="0" applyFont="1" applyFill="1" applyBorder="1" applyAlignment="1">
      <alignment vertical="top" wrapText="1"/>
    </xf>
    <xf numFmtId="0" fontId="29" fillId="0" borderId="7" xfId="0" applyFont="1" applyFill="1" applyBorder="1" applyAlignment="1">
      <alignment horizontal="center" vertical="top" wrapText="1"/>
    </xf>
    <xf numFmtId="0" fontId="16" fillId="0" borderId="7" xfId="0" applyFont="1" applyFill="1" applyBorder="1" applyAlignment="1">
      <alignment horizontal="left" vertical="top" wrapText="1"/>
    </xf>
    <xf numFmtId="0" fontId="16" fillId="0" borderId="9" xfId="0" applyFont="1" applyFill="1" applyBorder="1" applyAlignment="1">
      <alignment horizontal="left" vertical="top" wrapText="1"/>
    </xf>
    <xf numFmtId="0" fontId="29" fillId="0" borderId="9" xfId="0" applyFont="1" applyBorder="1" applyAlignment="1">
      <alignment vertical="top" wrapText="1"/>
    </xf>
    <xf numFmtId="0" fontId="16" fillId="0" borderId="0" xfId="0" applyFont="1" applyFill="1" applyAlignment="1">
      <alignment vertical="top" wrapText="1"/>
    </xf>
    <xf numFmtId="0" fontId="16" fillId="0" borderId="0" xfId="0" applyFont="1" applyFill="1" applyAlignment="1">
      <alignment horizontal="center" vertical="top" wrapText="1"/>
    </xf>
    <xf numFmtId="0" fontId="16" fillId="0" borderId="0" xfId="0" applyFont="1" applyFill="1" applyAlignment="1">
      <alignment horizontal="center" vertical="center" wrapText="1"/>
    </xf>
    <xf numFmtId="0" fontId="33" fillId="8" borderId="22" xfId="0" applyFont="1" applyFill="1" applyBorder="1" applyAlignment="1">
      <alignment vertical="center" wrapText="1"/>
    </xf>
    <xf numFmtId="0" fontId="27" fillId="4" borderId="1" xfId="0" applyFont="1" applyFill="1" applyBorder="1" applyAlignment="1">
      <alignment horizontal="center" vertical="top" wrapText="1"/>
    </xf>
    <xf numFmtId="0" fontId="15" fillId="0" borderId="0" xfId="0" applyFont="1" applyAlignment="1">
      <alignment horizontal="left"/>
    </xf>
    <xf numFmtId="0" fontId="16" fillId="0" borderId="0" xfId="0" applyFont="1" applyAlignment="1">
      <alignment horizontal="left"/>
    </xf>
    <xf numFmtId="0" fontId="16" fillId="0" borderId="0" xfId="0" applyFont="1" applyFill="1" applyAlignment="1">
      <alignment horizontal="left" vertical="top" wrapText="1"/>
    </xf>
    <xf numFmtId="0" fontId="27" fillId="8" borderId="22" xfId="0" applyFont="1" applyFill="1" applyBorder="1" applyAlignment="1">
      <alignment horizontal="left" vertical="center" wrapText="1"/>
    </xf>
    <xf numFmtId="0" fontId="16" fillId="0" borderId="8" xfId="0" applyFont="1" applyFill="1" applyBorder="1" applyAlignment="1">
      <alignment horizontal="left" vertical="top" wrapText="1"/>
    </xf>
    <xf numFmtId="0" fontId="29" fillId="0" borderId="7" xfId="0" applyFont="1" applyFill="1" applyBorder="1" applyAlignment="1">
      <alignment horizontal="left" vertical="top" wrapText="1"/>
    </xf>
    <xf numFmtId="0" fontId="29" fillId="0" borderId="9" xfId="0" applyFont="1" applyFill="1" applyBorder="1" applyAlignment="1">
      <alignment horizontal="left" vertical="top" wrapText="1"/>
    </xf>
    <xf numFmtId="0" fontId="29" fillId="0" borderId="1" xfId="0" applyFont="1" applyBorder="1" applyAlignment="1">
      <alignment horizontal="left" vertical="top" wrapText="1"/>
    </xf>
    <xf numFmtId="0" fontId="27" fillId="7" borderId="15" xfId="0" applyFont="1" applyFill="1" applyBorder="1" applyAlignment="1">
      <alignment horizontal="left" vertical="top" wrapText="1"/>
    </xf>
    <xf numFmtId="0" fontId="16" fillId="0" borderId="1" xfId="0" quotePrefix="1" applyFont="1" applyBorder="1" applyAlignment="1">
      <alignment horizontal="left" vertical="top" wrapText="1"/>
    </xf>
    <xf numFmtId="0" fontId="16" fillId="0" borderId="12" xfId="0" applyFont="1" applyBorder="1" applyAlignment="1">
      <alignment horizontal="left" vertical="top" wrapText="1"/>
    </xf>
    <xf numFmtId="0" fontId="32" fillId="0" borderId="12" xfId="0" applyFont="1" applyBorder="1" applyAlignment="1">
      <alignment horizontal="left" vertical="top" wrapText="1"/>
    </xf>
    <xf numFmtId="0" fontId="32" fillId="0" borderId="1" xfId="0" applyFont="1" applyBorder="1" applyAlignment="1">
      <alignment horizontal="left" vertical="top" wrapText="1"/>
    </xf>
    <xf numFmtId="0" fontId="27" fillId="7" borderId="0" xfId="0" applyFont="1" applyFill="1" applyBorder="1" applyAlignment="1">
      <alignment horizontal="left" vertical="top" wrapText="1"/>
    </xf>
    <xf numFmtId="0" fontId="16" fillId="0" borderId="13" xfId="0" applyFont="1" applyBorder="1" applyAlignment="1">
      <alignment vertical="top" wrapText="1"/>
    </xf>
    <xf numFmtId="0" fontId="16" fillId="0" borderId="9" xfId="0" quotePrefix="1" applyFont="1" applyFill="1" applyBorder="1" applyAlignment="1">
      <alignment horizontal="left" vertical="top" wrapText="1"/>
    </xf>
    <xf numFmtId="0" fontId="16" fillId="9" borderId="9" xfId="0" applyFont="1" applyFill="1" applyBorder="1" applyAlignment="1">
      <alignment horizontal="left" vertical="top" wrapText="1"/>
    </xf>
    <xf numFmtId="0" fontId="16" fillId="0" borderId="9" xfId="0" quotePrefix="1" applyFont="1" applyBorder="1" applyAlignment="1">
      <alignment vertical="top" wrapText="1"/>
    </xf>
    <xf numFmtId="0" fontId="32" fillId="0" borderId="13" xfId="0" applyFont="1" applyBorder="1" applyAlignment="1">
      <alignment vertical="top" wrapText="1"/>
    </xf>
    <xf numFmtId="0" fontId="32" fillId="0" borderId="9" xfId="0" applyFont="1" applyBorder="1" applyAlignment="1">
      <alignment vertical="top" wrapText="1"/>
    </xf>
    <xf numFmtId="0" fontId="29" fillId="0" borderId="10" xfId="0" applyFont="1" applyFill="1" applyBorder="1" applyAlignment="1">
      <alignment horizontal="left" vertical="top" wrapText="1"/>
    </xf>
    <xf numFmtId="0" fontId="29" fillId="0" borderId="20" xfId="0" applyFont="1" applyFill="1" applyBorder="1" applyAlignment="1">
      <alignment vertical="top" wrapText="1"/>
    </xf>
    <xf numFmtId="0" fontId="27" fillId="6" borderId="20" xfId="0" applyFont="1" applyFill="1" applyBorder="1" applyAlignment="1">
      <alignment horizontal="center" vertical="top" wrapText="1"/>
    </xf>
    <xf numFmtId="0" fontId="27" fillId="6" borderId="14" xfId="0" applyFont="1" applyFill="1" applyBorder="1" applyAlignment="1">
      <alignment horizontal="center" vertical="top" wrapText="1"/>
    </xf>
    <xf numFmtId="0" fontId="27" fillId="6" borderId="13" xfId="0" applyFont="1" applyFill="1" applyBorder="1" applyAlignment="1">
      <alignment horizontal="center" vertical="top" wrapText="1"/>
    </xf>
    <xf numFmtId="0" fontId="16" fillId="0" borderId="1" xfId="0" applyFont="1" applyFill="1" applyBorder="1" applyAlignment="1">
      <alignment vertical="top" wrapText="1"/>
    </xf>
    <xf numFmtId="0" fontId="34" fillId="0" borderId="5" xfId="0" applyFont="1" applyBorder="1" applyAlignment="1">
      <alignment horizontal="left" vertical="center" wrapText="1"/>
    </xf>
    <xf numFmtId="0" fontId="27" fillId="6" borderId="25" xfId="0" applyFont="1" applyFill="1" applyBorder="1" applyAlignment="1">
      <alignment horizontal="center" vertical="top" wrapText="1"/>
    </xf>
    <xf numFmtId="0" fontId="37" fillId="6" borderId="8" xfId="0" applyFont="1" applyFill="1" applyBorder="1" applyAlignment="1">
      <alignment horizontal="center" vertical="center" textRotation="90" wrapText="1"/>
    </xf>
    <xf numFmtId="0" fontId="27" fillId="6" borderId="11" xfId="0" applyFont="1" applyFill="1" applyBorder="1" applyAlignment="1">
      <alignment vertical="top" wrapText="1"/>
    </xf>
    <xf numFmtId="0" fontId="27" fillId="6" borderId="12" xfId="0" applyFont="1" applyFill="1" applyBorder="1" applyAlignment="1">
      <alignment vertical="top" wrapText="1"/>
    </xf>
    <xf numFmtId="0" fontId="27" fillId="0" borderId="9" xfId="0" applyFont="1" applyFill="1" applyBorder="1" applyAlignment="1">
      <alignment horizontal="center" vertical="top" textRotation="90" wrapText="1"/>
    </xf>
    <xf numFmtId="0" fontId="13" fillId="0" borderId="1" xfId="0" applyFont="1" applyFill="1" applyBorder="1" applyAlignment="1">
      <alignment vertical="top" wrapText="1"/>
    </xf>
    <xf numFmtId="0" fontId="35" fillId="0" borderId="1" xfId="0" applyFont="1" applyFill="1" applyBorder="1" applyAlignment="1">
      <alignment vertical="top" wrapText="1"/>
    </xf>
    <xf numFmtId="0" fontId="27" fillId="8" borderId="27"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7" fillId="0" borderId="9" xfId="0" applyFont="1" applyFill="1" applyBorder="1" applyAlignment="1">
      <alignment horizontal="left" vertical="top" wrapText="1"/>
    </xf>
    <xf numFmtId="0" fontId="27" fillId="6" borderId="17" xfId="0" applyFont="1" applyFill="1" applyBorder="1" applyAlignment="1">
      <alignment horizontal="center" vertical="top" wrapText="1"/>
    </xf>
    <xf numFmtId="0" fontId="16" fillId="0" borderId="8" xfId="0" applyFont="1" applyFill="1" applyBorder="1" applyAlignment="1">
      <alignment horizontal="left" vertical="top" wrapText="1"/>
    </xf>
    <xf numFmtId="0" fontId="16" fillId="0" borderId="9" xfId="0" applyFont="1" applyFill="1" applyBorder="1" applyAlignment="1">
      <alignment horizontal="left" vertical="top" wrapText="1"/>
    </xf>
    <xf numFmtId="0" fontId="27" fillId="4" borderId="8" xfId="0" applyFont="1" applyFill="1" applyBorder="1" applyAlignment="1">
      <alignment horizontal="center" vertical="top" wrapText="1"/>
    </xf>
    <xf numFmtId="0" fontId="29" fillId="0" borderId="9" xfId="0" applyFont="1" applyFill="1" applyBorder="1" applyAlignment="1">
      <alignment horizontal="left" vertical="top" wrapText="1"/>
    </xf>
    <xf numFmtId="0" fontId="27" fillId="4" borderId="1" xfId="0" applyFont="1" applyFill="1" applyBorder="1" applyAlignment="1">
      <alignment horizontal="center" vertical="top" wrapText="1"/>
    </xf>
    <xf numFmtId="0" fontId="16" fillId="0" borderId="1" xfId="0" applyFont="1" applyFill="1" applyBorder="1" applyAlignment="1">
      <alignment vertical="top" wrapText="1"/>
    </xf>
    <xf numFmtId="0" fontId="27" fillId="11" borderId="1" xfId="0" applyFont="1" applyFill="1" applyBorder="1" applyAlignment="1">
      <alignment horizontal="center" vertical="center" wrapText="1"/>
    </xf>
    <xf numFmtId="0" fontId="41" fillId="0" borderId="30" xfId="0" applyFont="1" applyFill="1" applyBorder="1" applyAlignment="1" applyProtection="1">
      <alignment vertical="top" wrapText="1"/>
    </xf>
    <xf numFmtId="0" fontId="41" fillId="0" borderId="30" xfId="0" applyFont="1" applyBorder="1" applyAlignment="1" applyProtection="1">
      <alignment vertical="top" wrapText="1"/>
    </xf>
    <xf numFmtId="0" fontId="27" fillId="11" borderId="30" xfId="0" applyFont="1" applyFill="1" applyBorder="1" applyAlignment="1">
      <alignment horizontal="center" vertical="center" wrapText="1"/>
    </xf>
    <xf numFmtId="0" fontId="16" fillId="0" borderId="30" xfId="0" applyFont="1" applyFill="1" applyBorder="1" applyAlignment="1">
      <alignment horizontal="left" vertical="top" wrapText="1"/>
    </xf>
    <xf numFmtId="0" fontId="16" fillId="0" borderId="30" xfId="0" applyFont="1" applyBorder="1" applyAlignment="1">
      <alignment horizontal="left" vertical="top" wrapText="1"/>
    </xf>
    <xf numFmtId="49" fontId="16" fillId="0" borderId="0" xfId="0" applyNumberFormat="1" applyFont="1"/>
    <xf numFmtId="49" fontId="27" fillId="11" borderId="30" xfId="0" applyNumberFormat="1" applyFont="1" applyFill="1" applyBorder="1" applyAlignment="1">
      <alignment vertical="center" wrapText="1"/>
    </xf>
    <xf numFmtId="49" fontId="16" fillId="0" borderId="30" xfId="0" applyNumberFormat="1" applyFont="1" applyBorder="1" applyAlignment="1">
      <alignment horizontal="left" vertical="top" wrapText="1"/>
    </xf>
    <xf numFmtId="49" fontId="16" fillId="0" borderId="0" xfId="0" applyNumberFormat="1" applyFont="1" applyAlignment="1">
      <alignment wrapText="1"/>
    </xf>
    <xf numFmtId="0" fontId="27" fillId="11" borderId="0" xfId="0" applyFont="1" applyFill="1" applyBorder="1" applyAlignment="1">
      <alignment horizontal="center" vertical="center" wrapText="1"/>
    </xf>
    <xf numFmtId="0" fontId="16" fillId="0" borderId="0" xfId="0" applyFont="1" applyBorder="1" applyAlignment="1">
      <alignment horizontal="left" vertical="top" wrapText="1"/>
    </xf>
    <xf numFmtId="0" fontId="21" fillId="0" borderId="0" xfId="0" applyFont="1" applyBorder="1" applyAlignment="1">
      <alignment horizontal="left" vertical="top" wrapText="1"/>
    </xf>
    <xf numFmtId="49" fontId="21" fillId="0" borderId="30" xfId="0" applyNumberFormat="1" applyFont="1" applyBorder="1" applyAlignment="1">
      <alignment horizontal="left" vertical="top" wrapText="1"/>
    </xf>
    <xf numFmtId="49" fontId="42" fillId="0" borderId="30" xfId="0" applyNumberFormat="1" applyFont="1" applyBorder="1" applyAlignment="1">
      <alignment horizontal="left" vertical="top" wrapText="1"/>
    </xf>
    <xf numFmtId="0" fontId="42" fillId="0" borderId="0" xfId="0" applyFont="1" applyAlignment="1">
      <alignment horizontal="left" vertical="top" wrapText="1"/>
    </xf>
    <xf numFmtId="0" fontId="42" fillId="0" borderId="0" xfId="0" applyFont="1" applyAlignment="1">
      <alignment vertical="top" wrapText="1"/>
    </xf>
    <xf numFmtId="0" fontId="42" fillId="0" borderId="0" xfId="0" applyFont="1" applyBorder="1" applyAlignment="1">
      <alignment horizontal="left" vertical="top" wrapText="1"/>
    </xf>
    <xf numFmtId="0" fontId="42" fillId="0" borderId="30" xfId="0" applyFont="1" applyBorder="1" applyAlignment="1">
      <alignment horizontal="left" vertical="top" wrapText="1"/>
    </xf>
    <xf numFmtId="0" fontId="23" fillId="0" borderId="0" xfId="0" applyFont="1"/>
    <xf numFmtId="0" fontId="16" fillId="0" borderId="24" xfId="0" applyFont="1" applyFill="1" applyBorder="1" applyAlignment="1">
      <alignment horizontal="center" vertical="top" wrapText="1"/>
    </xf>
    <xf numFmtId="0" fontId="16" fillId="0" borderId="8" xfId="0" applyFont="1" applyFill="1" applyBorder="1" applyAlignment="1">
      <alignment horizontal="center" vertical="top" wrapText="1"/>
    </xf>
    <xf numFmtId="0" fontId="16" fillId="0" borderId="9" xfId="0" applyFont="1" applyFill="1" applyBorder="1" applyAlignment="1">
      <alignment horizontal="center" vertical="top" wrapText="1"/>
    </xf>
    <xf numFmtId="0" fontId="16" fillId="0" borderId="7" xfId="0" applyFont="1" applyFill="1" applyBorder="1" applyAlignment="1">
      <alignment horizontal="left" vertical="top" wrapText="1"/>
    </xf>
    <xf numFmtId="0" fontId="16" fillId="0" borderId="8" xfId="0" applyFont="1" applyFill="1" applyBorder="1" applyAlignment="1">
      <alignment horizontal="left" vertical="top" wrapText="1"/>
    </xf>
    <xf numFmtId="0" fontId="16" fillId="0" borderId="9" xfId="0" applyFont="1" applyFill="1" applyBorder="1" applyAlignment="1">
      <alignment horizontal="left" vertical="top" wrapText="1"/>
    </xf>
    <xf numFmtId="0" fontId="16" fillId="0" borderId="7" xfId="0" applyFont="1" applyFill="1" applyBorder="1" applyAlignment="1">
      <alignment horizontal="center" vertical="top" wrapText="1"/>
    </xf>
    <xf numFmtId="0" fontId="27" fillId="4" borderId="7" xfId="0" applyFont="1" applyFill="1" applyBorder="1" applyAlignment="1">
      <alignment horizontal="center" vertical="top" wrapText="1"/>
    </xf>
    <xf numFmtId="0" fontId="27" fillId="4" borderId="8" xfId="0" applyFont="1" applyFill="1" applyBorder="1" applyAlignment="1">
      <alignment horizontal="center" vertical="top" wrapText="1"/>
    </xf>
    <xf numFmtId="0" fontId="27" fillId="6" borderId="20" xfId="0" applyFont="1" applyFill="1" applyBorder="1" applyAlignment="1">
      <alignment horizontal="center" vertical="top" wrapText="1"/>
    </xf>
    <xf numFmtId="0" fontId="27" fillId="6" borderId="14" xfId="0" applyFont="1" applyFill="1" applyBorder="1" applyAlignment="1">
      <alignment horizontal="center" vertical="top" wrapText="1"/>
    </xf>
    <xf numFmtId="0" fontId="27" fillId="6" borderId="13" xfId="0" applyFont="1" applyFill="1" applyBorder="1" applyAlignment="1">
      <alignment horizontal="center" vertical="top" wrapText="1"/>
    </xf>
    <xf numFmtId="0" fontId="27" fillId="4" borderId="9" xfId="0" applyFont="1" applyFill="1" applyBorder="1" applyAlignment="1">
      <alignment horizontal="center" vertical="top" wrapText="1"/>
    </xf>
    <xf numFmtId="0" fontId="16" fillId="0" borderId="8" xfId="0" quotePrefix="1" applyFont="1" applyFill="1" applyBorder="1" applyAlignment="1">
      <alignment horizontal="left" vertical="top" wrapText="1"/>
    </xf>
    <xf numFmtId="0" fontId="16" fillId="0" borderId="9" xfId="0" quotePrefix="1" applyFont="1" applyFill="1" applyBorder="1" applyAlignment="1">
      <alignment horizontal="left" vertical="top" wrapText="1"/>
    </xf>
    <xf numFmtId="0" fontId="16" fillId="0" borderId="8" xfId="0" quotePrefix="1" applyFont="1" applyFill="1" applyBorder="1" applyAlignment="1">
      <alignment horizontal="center" vertical="top" wrapText="1"/>
    </xf>
    <xf numFmtId="0" fontId="16" fillId="0" borderId="9" xfId="0" quotePrefix="1" applyFont="1" applyFill="1" applyBorder="1" applyAlignment="1">
      <alignment horizontal="center" vertical="top" wrapText="1"/>
    </xf>
    <xf numFmtId="0" fontId="16" fillId="0" borderId="8" xfId="0" quotePrefix="1" applyFont="1" applyFill="1" applyBorder="1" applyAlignment="1">
      <alignment vertical="top" wrapText="1"/>
    </xf>
    <xf numFmtId="0" fontId="16" fillId="0" borderId="9" xfId="0" quotePrefix="1" applyFont="1" applyFill="1" applyBorder="1" applyAlignment="1">
      <alignment vertical="top" wrapText="1"/>
    </xf>
    <xf numFmtId="0" fontId="16" fillId="0" borderId="7" xfId="0" applyFont="1" applyFill="1" applyBorder="1" applyAlignment="1">
      <alignment vertical="top" wrapText="1"/>
    </xf>
    <xf numFmtId="0" fontId="16" fillId="0" borderId="9" xfId="0" applyFont="1" applyFill="1" applyBorder="1" applyAlignment="1">
      <alignment vertical="top" wrapText="1"/>
    </xf>
    <xf numFmtId="0" fontId="16" fillId="0" borderId="8" xfId="0" applyFont="1" applyFill="1" applyBorder="1" applyAlignment="1">
      <alignment vertical="top" wrapText="1"/>
    </xf>
    <xf numFmtId="0" fontId="16" fillId="0" borderId="7" xfId="0" quotePrefix="1" applyFont="1" applyFill="1" applyBorder="1" applyAlignment="1">
      <alignment vertical="top" wrapText="1"/>
    </xf>
    <xf numFmtId="0" fontId="27" fillId="0" borderId="26" xfId="0" applyFont="1" applyFill="1" applyBorder="1" applyAlignment="1">
      <alignment horizontal="center" vertical="top" textRotation="90" wrapText="1"/>
    </xf>
    <xf numFmtId="0" fontId="27" fillId="0" borderId="8" xfId="0" applyFont="1" applyFill="1" applyBorder="1" applyAlignment="1">
      <alignment horizontal="center" vertical="top" textRotation="90" wrapText="1"/>
    </xf>
    <xf numFmtId="0" fontId="27" fillId="0" borderId="9" xfId="0" applyFont="1" applyFill="1" applyBorder="1" applyAlignment="1">
      <alignment horizontal="center" vertical="top" textRotation="90" wrapText="1"/>
    </xf>
    <xf numFmtId="0" fontId="16" fillId="0" borderId="7" xfId="0" applyFont="1" applyBorder="1" applyAlignment="1">
      <alignment vertical="top" wrapText="1"/>
    </xf>
    <xf numFmtId="0" fontId="16" fillId="0" borderId="8" xfId="0" applyFont="1" applyBorder="1" applyAlignment="1">
      <alignment vertical="top" wrapText="1"/>
    </xf>
    <xf numFmtId="0" fontId="16" fillId="0" borderId="9" xfId="0" applyFont="1" applyBorder="1" applyAlignment="1">
      <alignment vertical="top" wrapText="1"/>
    </xf>
    <xf numFmtId="0" fontId="29" fillId="0" borderId="7" xfId="0" applyFont="1" applyBorder="1" applyAlignment="1">
      <alignment vertical="top" wrapText="1"/>
    </xf>
    <xf numFmtId="0" fontId="29" fillId="0" borderId="9" xfId="0" applyFont="1" applyBorder="1" applyAlignment="1">
      <alignment vertical="top" wrapText="1"/>
    </xf>
    <xf numFmtId="0" fontId="29" fillId="0" borderId="8" xfId="0" applyFont="1" applyFill="1" applyBorder="1" applyAlignment="1">
      <alignment vertical="top" wrapText="1"/>
    </xf>
    <xf numFmtId="0" fontId="29" fillId="0" borderId="9" xfId="0" applyFont="1" applyFill="1" applyBorder="1" applyAlignment="1">
      <alignment vertical="top" wrapText="1"/>
    </xf>
    <xf numFmtId="0" fontId="16" fillId="0" borderId="1" xfId="0" applyFont="1" applyFill="1" applyBorder="1" applyAlignment="1">
      <alignment vertical="top" wrapText="1"/>
    </xf>
    <xf numFmtId="0" fontId="38" fillId="0" borderId="7" xfId="0" applyFont="1" applyFill="1" applyBorder="1" applyAlignment="1">
      <alignment horizontal="center" vertical="center" textRotation="90" wrapText="1"/>
    </xf>
    <xf numFmtId="0" fontId="38" fillId="0" borderId="8" xfId="0" applyFont="1" applyFill="1" applyBorder="1" applyAlignment="1">
      <alignment horizontal="center" vertical="center" textRotation="90" wrapText="1"/>
    </xf>
    <xf numFmtId="0" fontId="27" fillId="4" borderId="1" xfId="0" applyFont="1" applyFill="1" applyBorder="1" applyAlignment="1">
      <alignment horizontal="center" vertical="top" wrapText="1"/>
    </xf>
    <xf numFmtId="0" fontId="27" fillId="6" borderId="17" xfId="0" applyFont="1" applyFill="1" applyBorder="1" applyAlignment="1">
      <alignment horizontal="center" vertical="top" wrapText="1"/>
    </xf>
    <xf numFmtId="0" fontId="27" fillId="6" borderId="18" xfId="0" applyFont="1" applyFill="1" applyBorder="1" applyAlignment="1">
      <alignment horizontal="center" vertical="top" wrapText="1"/>
    </xf>
    <xf numFmtId="0" fontId="27" fillId="6" borderId="19" xfId="0" applyFont="1" applyFill="1" applyBorder="1" applyAlignment="1">
      <alignment horizontal="center" vertical="top" wrapText="1"/>
    </xf>
    <xf numFmtId="0" fontId="27" fillId="0" borderId="0" xfId="0" applyFont="1" applyFill="1" applyBorder="1" applyAlignment="1">
      <alignment horizontal="center" vertical="top" textRotation="90" wrapText="1"/>
    </xf>
    <xf numFmtId="0" fontId="27" fillId="4" borderId="24" xfId="0" applyFont="1" applyFill="1" applyBorder="1" applyAlignment="1">
      <alignment horizontal="center" vertical="top" wrapText="1"/>
    </xf>
    <xf numFmtId="0" fontId="38" fillId="0" borderId="9" xfId="0" applyFont="1" applyFill="1" applyBorder="1" applyAlignment="1">
      <alignment horizontal="center" vertical="center" textRotation="90" wrapText="1"/>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16" fillId="0" borderId="9" xfId="0" applyFont="1" applyBorder="1" applyAlignment="1">
      <alignment horizontal="left" vertical="top" wrapText="1"/>
    </xf>
    <xf numFmtId="0" fontId="16" fillId="0" borderId="7" xfId="0" applyFont="1" applyBorder="1" applyAlignment="1">
      <alignment horizontal="center" vertical="top" wrapText="1"/>
    </xf>
    <xf numFmtId="0" fontId="16" fillId="0" borderId="8" xfId="0" applyFont="1" applyBorder="1" applyAlignment="1">
      <alignment horizontal="center" vertical="top" wrapText="1"/>
    </xf>
    <xf numFmtId="0" fontId="16" fillId="0" borderId="9" xfId="0" applyFont="1" applyBorder="1" applyAlignment="1">
      <alignment horizontal="center" vertical="top" wrapText="1"/>
    </xf>
    <xf numFmtId="0" fontId="16" fillId="0" borderId="7" xfId="0" quotePrefix="1" applyFont="1" applyFill="1" applyBorder="1" applyAlignment="1">
      <alignment horizontal="left" vertical="top" wrapText="1"/>
    </xf>
    <xf numFmtId="0" fontId="16" fillId="0" borderId="7" xfId="0" quotePrefix="1" applyFont="1" applyFill="1" applyBorder="1" applyAlignment="1">
      <alignment horizontal="center" vertical="top" wrapText="1"/>
    </xf>
    <xf numFmtId="0" fontId="38" fillId="0" borderId="24" xfId="0" applyFont="1" applyFill="1" applyBorder="1" applyAlignment="1">
      <alignment horizontal="center" vertical="center" textRotation="90" wrapText="1"/>
    </xf>
    <xf numFmtId="0" fontId="21" fillId="0" borderId="0" xfId="0" applyFont="1" applyAlignment="1">
      <alignment horizontal="left" vertical="top" wrapText="1"/>
    </xf>
    <xf numFmtId="0" fontId="27" fillId="8" borderId="0" xfId="0" applyFont="1" applyFill="1" applyAlignment="1">
      <alignment horizontal="center" vertical="top" wrapText="1"/>
    </xf>
    <xf numFmtId="0" fontId="14" fillId="10" borderId="7"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9" xfId="0" applyFont="1" applyFill="1" applyBorder="1" applyAlignment="1">
      <alignment horizontal="center" vertical="center" wrapText="1"/>
    </xf>
    <xf numFmtId="0" fontId="27" fillId="8" borderId="27" xfId="0" applyFont="1" applyFill="1" applyBorder="1" applyAlignment="1">
      <alignment horizontal="center" vertical="center" wrapText="1"/>
    </xf>
    <xf numFmtId="0" fontId="29" fillId="0" borderId="7" xfId="0" applyFont="1" applyFill="1" applyBorder="1" applyAlignment="1">
      <alignment horizontal="center" vertical="top" wrapText="1"/>
    </xf>
    <xf numFmtId="0" fontId="29" fillId="0" borderId="9" xfId="0" applyFont="1" applyFill="1" applyBorder="1" applyAlignment="1">
      <alignment horizontal="center" vertical="top" wrapText="1"/>
    </xf>
    <xf numFmtId="0" fontId="27" fillId="6" borderId="28" xfId="0" applyFont="1" applyFill="1" applyBorder="1" applyAlignment="1">
      <alignment horizontal="center" vertical="top" wrapText="1"/>
    </xf>
    <xf numFmtId="0" fontId="29" fillId="0" borderId="7" xfId="0" applyFont="1" applyFill="1" applyBorder="1" applyAlignment="1">
      <alignment horizontal="left" vertical="top" wrapText="1"/>
    </xf>
    <xf numFmtId="0" fontId="29" fillId="0" borderId="8" xfId="0" applyFont="1" applyFill="1" applyBorder="1" applyAlignment="1">
      <alignment horizontal="left" vertical="top" wrapText="1"/>
    </xf>
    <xf numFmtId="0" fontId="29" fillId="0" borderId="8" xfId="0" applyFont="1" applyFill="1" applyBorder="1" applyAlignment="1">
      <alignment horizontal="center" vertical="top" wrapText="1"/>
    </xf>
    <xf numFmtId="0" fontId="29" fillId="0" borderId="7" xfId="0" applyFont="1" applyFill="1" applyBorder="1" applyAlignment="1">
      <alignment vertical="top" wrapText="1"/>
    </xf>
    <xf numFmtId="0" fontId="30" fillId="0" borderId="7" xfId="0" applyFont="1" applyFill="1" applyBorder="1" applyAlignment="1">
      <alignment vertical="top" wrapText="1"/>
    </xf>
    <xf numFmtId="0" fontId="30" fillId="0" borderId="8" xfId="0" applyFont="1" applyFill="1" applyBorder="1" applyAlignment="1">
      <alignment vertical="top" wrapText="1"/>
    </xf>
    <xf numFmtId="0" fontId="27" fillId="6" borderId="29" xfId="0" applyFont="1" applyFill="1" applyBorder="1" applyAlignment="1">
      <alignment horizontal="center" vertical="top" wrapText="1"/>
    </xf>
  </cellXfs>
  <cellStyles count="27">
    <cellStyle name="Activity" xfId="3"/>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eading 1 2" xfId="4"/>
    <cellStyle name="Label" xfId="5"/>
    <cellStyle name="Normal" xfId="0" builtinId="0"/>
    <cellStyle name="Normal 2" xfId="6"/>
    <cellStyle name="Normal 2 2" xfId="7"/>
    <cellStyle name="Normal 2 3" xfId="8"/>
    <cellStyle name="Normal 2 4" xfId="1"/>
    <cellStyle name="Normal 3" xfId="2"/>
    <cellStyle name="Normal 3 2" xfId="18"/>
    <cellStyle name="Normal 4" xfId="9"/>
    <cellStyle name="Normal 5" xfId="10"/>
    <cellStyle name="Normal 52 2" xfId="11"/>
    <cellStyle name="Normal 7" xfId="12"/>
    <cellStyle name="Percent Complete" xfId="13"/>
    <cellStyle name="Period Headers" xfId="14"/>
    <cellStyle name="Period Highlight Control" xfId="15"/>
    <cellStyle name="Project Headers" xfId="16"/>
    <cellStyle name="Style5555" xfId="17"/>
  </cellStyles>
  <dxfs count="25">
    <dxf>
      <font>
        <b/>
        <i val="0"/>
        <color rgb="FF006600"/>
      </font>
      <fill>
        <patternFill>
          <bgColor theme="6" tint="0.39994506668294322"/>
        </patternFill>
      </fill>
    </dxf>
    <dxf>
      <font>
        <b/>
        <i val="0"/>
        <color theme="9" tint="-0.24994659260841701"/>
      </font>
      <fill>
        <patternFill>
          <bgColor rgb="FFFFFF66"/>
        </patternFill>
      </fill>
    </dxf>
    <dxf>
      <font>
        <b/>
        <i val="0"/>
        <color rgb="FFC00000"/>
      </font>
      <fill>
        <patternFill>
          <bgColor theme="5" tint="0.39994506668294322"/>
        </patternFill>
      </fill>
    </dxf>
    <dxf>
      <font>
        <b/>
        <i val="0"/>
        <color auto="1"/>
      </font>
      <fill>
        <patternFill>
          <bgColor theme="0" tint="-0.24994659260841701"/>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
      <fill>
        <patternFill>
          <bgColor rgb="FF006600"/>
        </patternFill>
      </fill>
    </dxf>
    <dxf>
      <fill>
        <patternFill>
          <bgColor rgb="FFFFFF00"/>
        </patternFill>
      </fill>
    </dxf>
    <dxf>
      <fill>
        <patternFill>
          <bgColor rgb="FFFF0000"/>
        </patternFill>
      </fill>
    </dxf>
  </dxfs>
  <tableStyles count="0" defaultTableStyle="TableStyleMedium2" defaultPivotStyle="PivotStyleLight16"/>
  <colors>
    <mruColors>
      <color rgb="FFFFFF66"/>
      <color rgb="FF6EAB24"/>
      <color rgb="FF003300"/>
      <color rgb="FF0066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763353</xdr:colOff>
      <xdr:row>3</xdr:row>
      <xdr:rowOff>38100</xdr:rowOff>
    </xdr:from>
    <xdr:to>
      <xdr:col>5</xdr:col>
      <xdr:colOff>385075</xdr:colOff>
      <xdr:row>9</xdr:row>
      <xdr:rowOff>61072</xdr:rowOff>
    </xdr:to>
    <xdr:pic>
      <xdr:nvPicPr>
        <xdr:cNvPr id="2" name="Picture 1" descr="Old Mutual generic dgt logo rgb DIGITAL A4.jpg"/>
        <xdr:cNvPicPr>
          <a:picLocks noChangeAspect="1"/>
        </xdr:cNvPicPr>
      </xdr:nvPicPr>
      <xdr:blipFill>
        <a:blip xmlns:r="http://schemas.openxmlformats.org/officeDocument/2006/relationships" r:embed="rId1" cstate="print"/>
        <a:stretch>
          <a:fillRect/>
        </a:stretch>
      </xdr:blipFill>
      <xdr:spPr>
        <a:xfrm>
          <a:off x="763353" y="650421"/>
          <a:ext cx="7663543" cy="12476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formation%20risk%20assessment%20v01.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Policy%20Matrix_Template%20to%20Segment%20ROs_April%202013_v3%20(clea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lhaambooley\Library\Caches\TemporaryItems\Outlook%20Temp\Blueprint%20Framework%20v0%202%20-%20Q1%202015%20MF.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ilhaambooley\Library\Caches\TemporaryItems\Outlook%20Temp\OMEM_CST%20Net%20Risk%20Q1%202015%20v0%2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Guidance - Amanda"/>
      <sheetName val="Potential impact definitions"/>
      <sheetName val="Project information - Kurt"/>
      <sheetName val="Info Storage &amp; Processing"/>
      <sheetName val="Lookup"/>
      <sheetName val="Info Categories"/>
      <sheetName val="Info risk assessment"/>
      <sheetName val="Dashboard"/>
      <sheetName val="Security Dashboad"/>
      <sheetName val="BCM Dashboard"/>
      <sheetName val="IAG Dashboard"/>
      <sheetName val="POPI Dashboard"/>
      <sheetName val="TempData"/>
      <sheetName val="Data 1"/>
      <sheetName val="Data 2"/>
      <sheetName val="Data 3"/>
      <sheetName val="Data 4"/>
      <sheetName val="Data 5"/>
      <sheetName val="Data 6"/>
      <sheetName val="Data 7"/>
      <sheetName val="Data 8"/>
      <sheetName val="Data 9"/>
      <sheetName val="Data 10"/>
      <sheetName val="Data 11"/>
      <sheetName val="Data 12"/>
      <sheetName val="Data 13"/>
      <sheetName val="Data 14"/>
      <sheetName val="Data 15"/>
      <sheetName val="Data 16"/>
      <sheetName val="Data 17"/>
      <sheetName val="Data 18"/>
      <sheetName val="Data 19"/>
      <sheetName val="Data 20"/>
      <sheetName val="Data 21"/>
      <sheetName val="Data 22"/>
      <sheetName val="Data 23"/>
      <sheetName val="Data 24"/>
      <sheetName val="Data 25"/>
      <sheetName val="Data 26"/>
      <sheetName val="Data 27"/>
      <sheetName val="Data 28"/>
      <sheetName val="Data 29"/>
      <sheetName val="Data 30"/>
      <sheetName val="Data 31"/>
      <sheetName val="Data 32"/>
      <sheetName val="Data 33"/>
      <sheetName val="Sources"/>
      <sheetName val="Lookup - Kurt"/>
      <sheetName val="Risk Management Frame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1">
          <cell r="Q1">
            <v>59</v>
          </cell>
        </row>
      </sheetData>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ril 2013"/>
      <sheetName val="Values"/>
      <sheetName val="Sheet1"/>
      <sheetName val="Symbols"/>
      <sheetName val="Sheet2"/>
      <sheetName val="DATA"/>
    </sheetNames>
    <sheetDataSet>
      <sheetData sheetId="0">
        <row r="10">
          <cell r="H10" t="str">
            <v>YES</v>
          </cell>
        </row>
      </sheetData>
      <sheetData sheetId="1">
        <row r="10">
          <cell r="H10" t="str">
            <v>YES</v>
          </cell>
        </row>
      </sheetData>
      <sheetData sheetId="2">
        <row r="10">
          <cell r="H10" t="str">
            <v>YES</v>
          </cell>
        </row>
        <row r="11">
          <cell r="H11" t="str">
            <v>NO</v>
          </cell>
        </row>
        <row r="12">
          <cell r="H12" t="str">
            <v>WIP</v>
          </cell>
        </row>
        <row r="13">
          <cell r="H13" t="str">
            <v>N/A</v>
          </cell>
        </row>
        <row r="14">
          <cell r="H14" t="str">
            <v>UNKNOWN</v>
          </cell>
        </row>
      </sheetData>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Controls"/>
      <sheetName val="Governance"/>
      <sheetName val="Management"/>
      <sheetName val="Operational"/>
      <sheetName val="Maturity Model"/>
    </sheetNames>
    <sheetDataSet>
      <sheetData sheetId="0"/>
      <sheetData sheetId="1"/>
      <sheetData sheetId="2"/>
      <sheetData sheetId="3"/>
      <sheetData sheetId="4">
        <row r="3">
          <cell r="B3">
            <v>0</v>
          </cell>
        </row>
        <row r="4">
          <cell r="B4">
            <v>1</v>
          </cell>
        </row>
        <row r="5">
          <cell r="B5">
            <v>2</v>
          </cell>
        </row>
        <row r="6">
          <cell r="B6">
            <v>3</v>
          </cell>
        </row>
        <row r="7">
          <cell r="B7">
            <v>4</v>
          </cell>
        </row>
        <row r="8">
          <cell r="B8">
            <v>5</v>
          </cell>
        </row>
        <row r="9">
          <cell r="B9" t="str">
            <v>N/A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oss"/>
      <sheetName val="net"/>
      <sheetName val="Control assessment"/>
      <sheetName val="References"/>
      <sheetName val="grosslikelihoodcalc"/>
      <sheetName val="grossimpactcalc"/>
      <sheetName val="netlikelihoodcalc"/>
      <sheetName val="netimpactcalc"/>
      <sheetName val="Risk Analysis"/>
      <sheetName val="Risk ratings"/>
      <sheetName val="Mapping"/>
      <sheetName val="Algorithm 1"/>
      <sheetName val="Algorithm 2"/>
      <sheetName val="Control evidence"/>
      <sheetName val="Maturity model"/>
      <sheetName val="Heat map"/>
      <sheetName val="Algorithm"/>
    </sheetNames>
    <sheetDataSet>
      <sheetData sheetId="0" refreshError="1"/>
      <sheetData sheetId="1" refreshError="1"/>
      <sheetData sheetId="2" refreshError="1"/>
      <sheetData sheetId="3">
        <row r="10">
          <cell r="F10" t="str">
            <v>Remote</v>
          </cell>
          <cell r="G10">
            <v>1</v>
          </cell>
        </row>
        <row r="11">
          <cell r="F11" t="str">
            <v>Unlikely</v>
          </cell>
          <cell r="G11">
            <v>2</v>
          </cell>
        </row>
        <row r="12">
          <cell r="F12" t="str">
            <v>Possible</v>
          </cell>
          <cell r="G12">
            <v>3</v>
          </cell>
        </row>
        <row r="13">
          <cell r="F13" t="str">
            <v>Probable</v>
          </cell>
          <cell r="G13">
            <v>4</v>
          </cell>
        </row>
        <row r="14">
          <cell r="F14" t="str">
            <v>Highly likely</v>
          </cell>
          <cell r="G14">
            <v>5</v>
          </cell>
        </row>
      </sheetData>
      <sheetData sheetId="4" refreshError="1"/>
      <sheetData sheetId="5" refreshError="1"/>
      <sheetData sheetId="6" refreshError="1"/>
      <sheetData sheetId="7" refreshError="1"/>
      <sheetData sheetId="8">
        <row r="4">
          <cell r="T4" t="str">
            <v>G1</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L27"/>
  <sheetViews>
    <sheetView showGridLines="0" zoomScale="80" zoomScaleNormal="80" zoomScalePageLayoutView="80" workbookViewId="0">
      <selection activeCell="D28" sqref="D28"/>
    </sheetView>
  </sheetViews>
  <sheetFormatPr defaultColWidth="12.44140625" defaultRowHeight="14.4" x14ac:dyDescent="0.3"/>
  <cols>
    <col min="2" max="2" width="20.21875" bestFit="1" customWidth="1"/>
    <col min="3" max="3" width="36.77734375" bestFit="1" customWidth="1"/>
    <col min="4" max="4" width="34.77734375" customWidth="1"/>
    <col min="5" max="5" width="16.21875" customWidth="1"/>
    <col min="7" max="7" width="97.44140625" customWidth="1"/>
  </cols>
  <sheetData>
    <row r="1" spans="1:12" ht="15.6" x14ac:dyDescent="0.3">
      <c r="A1" s="9"/>
      <c r="B1" s="9"/>
      <c r="C1" s="9"/>
      <c r="D1" s="9"/>
      <c r="E1" s="9"/>
      <c r="F1" s="9"/>
      <c r="G1" s="9"/>
      <c r="H1" s="9"/>
      <c r="I1" s="9"/>
      <c r="J1" s="9"/>
      <c r="K1" s="9"/>
      <c r="L1" s="9"/>
    </row>
    <row r="2" spans="1:12" ht="15.6" x14ac:dyDescent="0.3">
      <c r="A2" s="9"/>
      <c r="B2" s="9"/>
      <c r="C2" s="9"/>
      <c r="D2" s="9"/>
      <c r="E2" s="9"/>
      <c r="F2" s="9"/>
      <c r="G2" s="9"/>
      <c r="H2" s="9"/>
      <c r="I2" s="9"/>
      <c r="J2" s="9"/>
      <c r="K2" s="9"/>
      <c r="L2" s="9"/>
    </row>
    <row r="3" spans="1:12" ht="15.6" x14ac:dyDescent="0.3">
      <c r="A3" s="9"/>
      <c r="B3" s="9"/>
      <c r="C3" s="9"/>
      <c r="D3" s="9"/>
      <c r="E3" s="9"/>
      <c r="F3" s="9"/>
      <c r="G3" s="9"/>
      <c r="H3" s="9"/>
      <c r="I3" s="9"/>
      <c r="J3" s="9"/>
      <c r="K3" s="9"/>
      <c r="L3" s="9"/>
    </row>
    <row r="4" spans="1:12" ht="15.6" x14ac:dyDescent="0.3">
      <c r="A4" s="9"/>
      <c r="B4" s="9"/>
      <c r="C4" s="9"/>
      <c r="D4" s="9"/>
      <c r="E4" s="9"/>
      <c r="F4" s="9"/>
      <c r="G4" s="9"/>
      <c r="H4" s="9"/>
      <c r="I4" s="9"/>
      <c r="J4" s="9"/>
      <c r="K4" s="9"/>
      <c r="L4" s="9"/>
    </row>
    <row r="5" spans="1:12" ht="15.6" x14ac:dyDescent="0.3">
      <c r="A5" s="9"/>
      <c r="B5" s="9"/>
      <c r="C5" s="9"/>
      <c r="D5" s="9"/>
      <c r="E5" s="9"/>
      <c r="F5" s="9"/>
      <c r="G5" s="9"/>
      <c r="H5" s="9"/>
      <c r="I5" s="9"/>
      <c r="J5" s="9"/>
      <c r="K5" s="9"/>
      <c r="L5" s="9"/>
    </row>
    <row r="6" spans="1:12" ht="15.6" x14ac:dyDescent="0.3">
      <c r="A6" s="9"/>
      <c r="B6" s="9"/>
      <c r="C6" s="9"/>
      <c r="D6" s="9"/>
      <c r="E6" s="9"/>
      <c r="F6" s="9"/>
      <c r="G6" s="9"/>
      <c r="H6" s="9"/>
      <c r="I6" s="9"/>
      <c r="J6" s="9"/>
      <c r="K6" s="9"/>
      <c r="L6" s="9"/>
    </row>
    <row r="7" spans="1:12" ht="15.6" x14ac:dyDescent="0.3">
      <c r="A7" s="9"/>
      <c r="B7" s="9"/>
      <c r="C7" s="9"/>
      <c r="D7" s="9"/>
      <c r="E7" s="9"/>
      <c r="F7" s="9"/>
      <c r="G7" s="9"/>
      <c r="H7" s="9"/>
      <c r="I7" s="9"/>
      <c r="J7" s="9"/>
      <c r="K7" s="9"/>
      <c r="L7" s="9"/>
    </row>
    <row r="8" spans="1:12" ht="15.6" x14ac:dyDescent="0.3">
      <c r="A8" s="9"/>
      <c r="B8" s="9"/>
      <c r="C8" s="9"/>
      <c r="D8" s="9"/>
      <c r="E8" s="9"/>
      <c r="F8" s="9"/>
      <c r="G8" s="9"/>
      <c r="H8" s="9"/>
      <c r="I8" s="9"/>
      <c r="J8" s="9"/>
      <c r="K8" s="9"/>
      <c r="L8" s="9"/>
    </row>
    <row r="9" spans="1:12" ht="15.6" x14ac:dyDescent="0.3">
      <c r="A9" s="10"/>
      <c r="B9" s="11"/>
      <c r="C9" s="11"/>
      <c r="D9" s="11"/>
    </row>
    <row r="13" spans="1:12" ht="32.4" x14ac:dyDescent="0.5">
      <c r="A13" s="9"/>
      <c r="B13" s="140" t="s">
        <v>265</v>
      </c>
      <c r="C13" s="140"/>
      <c r="D13" s="140"/>
      <c r="E13" s="140"/>
      <c r="F13" s="140"/>
      <c r="G13" s="140"/>
      <c r="H13" s="9"/>
      <c r="I13" s="9"/>
      <c r="J13" s="9"/>
      <c r="K13" s="9"/>
      <c r="L13" s="9"/>
    </row>
    <row r="14" spans="1:12" ht="25.2" x14ac:dyDescent="0.4">
      <c r="A14" s="9"/>
      <c r="B14" s="17"/>
      <c r="C14" s="9"/>
      <c r="D14" s="9"/>
      <c r="E14" s="9"/>
      <c r="F14" s="9"/>
      <c r="G14" s="9"/>
      <c r="H14" s="9"/>
      <c r="I14" s="9"/>
      <c r="J14" s="9"/>
      <c r="K14" s="9"/>
      <c r="L14" s="9"/>
    </row>
    <row r="15" spans="1:12" ht="15.6" x14ac:dyDescent="0.3">
      <c r="A15" s="9"/>
      <c r="B15" s="9"/>
      <c r="C15" s="9"/>
      <c r="D15" s="9"/>
      <c r="E15" s="9"/>
      <c r="F15" s="9"/>
      <c r="G15" s="9"/>
      <c r="H15" s="9"/>
      <c r="I15" s="9"/>
      <c r="J15" s="9"/>
      <c r="K15" s="9"/>
      <c r="L15" s="9"/>
    </row>
    <row r="16" spans="1:12" ht="15.6" x14ac:dyDescent="0.3">
      <c r="A16" s="9"/>
      <c r="B16" s="9"/>
      <c r="C16" s="9"/>
      <c r="D16" s="9"/>
      <c r="E16" s="9"/>
      <c r="F16" s="9"/>
      <c r="G16" s="9"/>
      <c r="H16" s="9"/>
      <c r="I16" s="9"/>
      <c r="J16" s="9"/>
      <c r="K16" s="9"/>
      <c r="L16" s="9"/>
    </row>
    <row r="17" spans="1:12" ht="15.6" x14ac:dyDescent="0.3">
      <c r="A17" s="9"/>
      <c r="B17" s="9"/>
      <c r="C17" s="9"/>
      <c r="D17" s="9"/>
      <c r="E17" s="9"/>
      <c r="F17" s="9"/>
      <c r="G17" s="9"/>
      <c r="H17" s="9"/>
      <c r="I17" s="9"/>
      <c r="J17" s="9"/>
      <c r="K17" s="9"/>
      <c r="L17" s="9"/>
    </row>
    <row r="18" spans="1:12" ht="15.6" x14ac:dyDescent="0.3">
      <c r="A18" s="9"/>
      <c r="B18" s="9"/>
      <c r="C18" s="9"/>
      <c r="D18" s="9"/>
      <c r="E18" s="9"/>
      <c r="F18" s="9"/>
      <c r="G18" s="9"/>
      <c r="H18" s="9"/>
      <c r="I18" s="9"/>
      <c r="J18" s="9"/>
      <c r="K18" s="9"/>
      <c r="L18" s="9"/>
    </row>
    <row r="19" spans="1:12" ht="17.399999999999999" x14ac:dyDescent="0.3">
      <c r="A19" s="9"/>
      <c r="B19" s="12" t="s">
        <v>4</v>
      </c>
      <c r="C19" s="13" t="s">
        <v>5</v>
      </c>
      <c r="D19" s="13" t="s">
        <v>6</v>
      </c>
      <c r="E19" s="13" t="s">
        <v>7</v>
      </c>
      <c r="F19" s="9"/>
      <c r="G19" s="9"/>
      <c r="H19" s="9"/>
      <c r="I19" s="9"/>
      <c r="J19" s="9"/>
      <c r="K19" s="9"/>
      <c r="L19" s="9"/>
    </row>
    <row r="20" spans="1:12" ht="17.399999999999999" x14ac:dyDescent="0.3">
      <c r="A20" s="9"/>
      <c r="B20" s="14" t="s">
        <v>262</v>
      </c>
      <c r="C20" s="15" t="s">
        <v>263</v>
      </c>
      <c r="D20" s="15" t="s">
        <v>264</v>
      </c>
      <c r="E20" s="16">
        <v>43149</v>
      </c>
      <c r="F20" s="9"/>
      <c r="G20" s="9"/>
      <c r="H20" s="9"/>
      <c r="I20" s="9"/>
      <c r="J20" s="9"/>
      <c r="K20" s="9"/>
      <c r="L20" s="9"/>
    </row>
    <row r="21" spans="1:12" ht="17.399999999999999" x14ac:dyDescent="0.3">
      <c r="A21" s="9"/>
      <c r="B21" s="14" t="s">
        <v>268</v>
      </c>
      <c r="C21" s="15" t="s">
        <v>263</v>
      </c>
      <c r="D21" s="15" t="s">
        <v>269</v>
      </c>
      <c r="E21" s="16">
        <v>43277</v>
      </c>
      <c r="F21" s="9"/>
      <c r="G21" s="9"/>
      <c r="H21" s="9"/>
      <c r="I21" s="9"/>
      <c r="J21" s="9"/>
      <c r="K21" s="9"/>
      <c r="L21" s="9"/>
    </row>
    <row r="22" spans="1:12" ht="17.399999999999999" x14ac:dyDescent="0.3">
      <c r="A22" s="9"/>
      <c r="B22" s="14"/>
      <c r="C22" s="15"/>
      <c r="D22" s="15"/>
      <c r="E22" s="15"/>
      <c r="F22" s="9"/>
      <c r="G22" s="9"/>
      <c r="H22" s="9"/>
      <c r="I22" s="9"/>
      <c r="J22" s="9"/>
      <c r="K22" s="9"/>
      <c r="L22" s="9"/>
    </row>
    <row r="23" spans="1:12" ht="17.399999999999999" x14ac:dyDescent="0.3">
      <c r="A23" s="9"/>
      <c r="B23" s="14"/>
      <c r="C23" s="15"/>
      <c r="D23" s="15"/>
      <c r="E23" s="15"/>
      <c r="F23" s="9"/>
      <c r="G23" s="9"/>
      <c r="H23" s="9"/>
      <c r="I23" s="9"/>
      <c r="J23" s="9"/>
      <c r="K23" s="9"/>
      <c r="L23" s="9"/>
    </row>
    <row r="24" spans="1:12" ht="17.399999999999999" x14ac:dyDescent="0.3">
      <c r="A24" s="9"/>
      <c r="B24" s="14"/>
      <c r="C24" s="15"/>
      <c r="D24" s="15"/>
      <c r="E24" s="15"/>
      <c r="F24" s="9"/>
      <c r="G24" s="9"/>
      <c r="H24" s="9"/>
      <c r="I24" s="9"/>
      <c r="J24" s="9"/>
      <c r="K24" s="9"/>
      <c r="L24" s="9"/>
    </row>
    <row r="25" spans="1:12" ht="17.399999999999999" x14ac:dyDescent="0.3">
      <c r="A25" s="9"/>
      <c r="B25" s="14"/>
      <c r="C25" s="15"/>
      <c r="D25" s="15"/>
      <c r="E25" s="15"/>
      <c r="F25" s="9"/>
      <c r="G25" s="9"/>
      <c r="H25" s="9"/>
      <c r="I25" s="9"/>
      <c r="J25" s="9"/>
      <c r="K25" s="9"/>
      <c r="L25" s="9"/>
    </row>
    <row r="26" spans="1:12" ht="17.399999999999999" x14ac:dyDescent="0.3">
      <c r="A26" s="9"/>
      <c r="B26" s="14"/>
      <c r="C26" s="15"/>
      <c r="D26" s="15"/>
      <c r="E26" s="15"/>
      <c r="F26" s="9"/>
      <c r="G26" s="9"/>
      <c r="H26" s="9"/>
      <c r="I26" s="9"/>
      <c r="J26" s="9"/>
      <c r="K26" s="9"/>
      <c r="L26" s="9"/>
    </row>
    <row r="27" spans="1:12" ht="17.399999999999999" x14ac:dyDescent="0.3">
      <c r="A27" s="9"/>
      <c r="B27" s="14"/>
      <c r="C27" s="15"/>
      <c r="D27" s="15"/>
      <c r="E27" s="15"/>
      <c r="F27" s="9"/>
      <c r="G27" s="9"/>
      <c r="H27" s="9"/>
      <c r="I27" s="9"/>
      <c r="J27" s="9"/>
      <c r="K27" s="9"/>
      <c r="L27" s="9"/>
    </row>
  </sheetData>
  <mergeCells count="1">
    <mergeCell ref="B13:G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O124"/>
  <sheetViews>
    <sheetView showGridLines="0" topLeftCell="F1" zoomScale="80" zoomScaleNormal="80" zoomScalePageLayoutView="80" workbookViewId="0">
      <selection activeCell="J25" sqref="J25"/>
    </sheetView>
  </sheetViews>
  <sheetFormatPr defaultColWidth="13.77734375" defaultRowHeight="15" x14ac:dyDescent="0.3"/>
  <cols>
    <col min="1" max="1" width="13.77734375" style="19"/>
    <col min="2" max="2" width="6.21875" style="8" customWidth="1"/>
    <col min="3" max="3" width="12.44140625" style="22" customWidth="1"/>
    <col min="4" max="4" width="21.21875" style="28" customWidth="1"/>
    <col min="5" max="5" width="16" style="7" customWidth="1"/>
    <col min="6" max="6" width="15.77734375" style="22" customWidth="1"/>
    <col min="7" max="7" width="58.44140625" style="8" customWidth="1"/>
    <col min="8" max="8" width="84" style="8" customWidth="1"/>
    <col min="9" max="9" width="13" style="8" customWidth="1"/>
    <col min="10" max="11" width="23" style="22" customWidth="1"/>
    <col min="12" max="12" width="53.21875" style="8" customWidth="1"/>
    <col min="13" max="13" width="24" style="8" customWidth="1"/>
    <col min="14" max="14" width="34.21875" style="8" customWidth="1"/>
    <col min="15" max="15" width="13.77734375" style="18"/>
    <col min="16" max="16384" width="13.77734375" style="19"/>
  </cols>
  <sheetData>
    <row r="1" spans="2:14" s="2" customFormat="1" ht="28.2" x14ac:dyDescent="0.45">
      <c r="B1" s="1" t="s">
        <v>222</v>
      </c>
      <c r="C1" s="1"/>
      <c r="D1" s="1"/>
      <c r="E1" s="77"/>
      <c r="F1" s="1"/>
    </row>
    <row r="2" spans="2:14" s="2" customFormat="1" ht="28.2" x14ac:dyDescent="0.45">
      <c r="B2" s="1"/>
      <c r="C2" s="1"/>
      <c r="D2" s="1"/>
      <c r="E2" s="77"/>
      <c r="F2" s="1"/>
    </row>
    <row r="3" spans="2:14" s="2" customFormat="1" x14ac:dyDescent="0.25">
      <c r="B3" s="193" t="s">
        <v>155</v>
      </c>
      <c r="C3" s="193"/>
      <c r="D3" s="193"/>
      <c r="E3" s="193"/>
      <c r="F3" s="193"/>
      <c r="G3" s="193"/>
      <c r="H3" s="193"/>
      <c r="I3" s="55"/>
      <c r="J3" s="55"/>
    </row>
    <row r="4" spans="2:14" s="2" customFormat="1" ht="15.6" thickBot="1" x14ac:dyDescent="0.3">
      <c r="E4" s="78"/>
    </row>
    <row r="5" spans="2:14" s="2" customFormat="1" ht="15.6" thickBot="1" x14ac:dyDescent="0.3">
      <c r="D5" s="103" t="s">
        <v>0</v>
      </c>
      <c r="E5" s="52">
        <f>SUM(J22:J57)</f>
        <v>0</v>
      </c>
    </row>
    <row r="6" spans="2:14" s="2" customFormat="1" x14ac:dyDescent="0.25">
      <c r="E6" s="78"/>
    </row>
    <row r="7" spans="2:14" s="19" customFormat="1" x14ac:dyDescent="0.3">
      <c r="B7" s="194" t="s">
        <v>181</v>
      </c>
      <c r="C7" s="194"/>
      <c r="D7" s="194"/>
      <c r="E7" s="194"/>
      <c r="F7" s="194"/>
      <c r="G7" s="194"/>
      <c r="H7" s="194"/>
      <c r="I7" s="194"/>
      <c r="J7" s="194"/>
      <c r="K7" s="194"/>
      <c r="L7" s="194"/>
      <c r="M7" s="194"/>
      <c r="N7" s="194"/>
    </row>
    <row r="8" spans="2:14" s="18" customFormat="1" x14ac:dyDescent="0.3">
      <c r="B8" s="72"/>
      <c r="C8" s="73"/>
      <c r="D8" s="74"/>
      <c r="E8" s="79"/>
      <c r="F8" s="73"/>
      <c r="G8" s="195" t="s">
        <v>159</v>
      </c>
      <c r="H8" s="109" t="s">
        <v>174</v>
      </c>
      <c r="I8" s="109"/>
      <c r="J8" s="73"/>
      <c r="K8" s="73"/>
      <c r="L8" s="72"/>
      <c r="M8" s="72"/>
      <c r="N8" s="72"/>
    </row>
    <row r="9" spans="2:14" s="18" customFormat="1" x14ac:dyDescent="0.3">
      <c r="B9" s="72"/>
      <c r="C9" s="73"/>
      <c r="D9" s="74"/>
      <c r="E9" s="79"/>
      <c r="F9" s="73"/>
      <c r="G9" s="196"/>
      <c r="H9" s="109" t="s">
        <v>160</v>
      </c>
      <c r="I9" s="109"/>
      <c r="J9" s="73"/>
      <c r="K9" s="73"/>
      <c r="L9" s="72"/>
      <c r="M9" s="72"/>
      <c r="N9" s="72"/>
    </row>
    <row r="10" spans="2:14" s="18" customFormat="1" x14ac:dyDescent="0.3">
      <c r="B10" s="72"/>
      <c r="C10" s="73"/>
      <c r="D10" s="74"/>
      <c r="E10" s="79"/>
      <c r="F10" s="73"/>
      <c r="G10" s="196"/>
      <c r="H10" s="109" t="s">
        <v>161</v>
      </c>
      <c r="I10" s="109"/>
      <c r="J10" s="73"/>
      <c r="K10" s="73"/>
      <c r="L10" s="72"/>
      <c r="M10" s="72"/>
      <c r="N10" s="72"/>
    </row>
    <row r="11" spans="2:14" s="18" customFormat="1" x14ac:dyDescent="0.3">
      <c r="B11" s="72"/>
      <c r="C11" s="73"/>
      <c r="D11" s="74"/>
      <c r="E11" s="79"/>
      <c r="F11" s="73"/>
      <c r="G11" s="196"/>
      <c r="H11" s="109" t="s">
        <v>165</v>
      </c>
      <c r="I11" s="109"/>
      <c r="J11" s="73"/>
      <c r="K11" s="73"/>
      <c r="L11" s="72"/>
      <c r="M11" s="72"/>
      <c r="N11" s="72"/>
    </row>
    <row r="12" spans="2:14" s="18" customFormat="1" x14ac:dyDescent="0.3">
      <c r="B12" s="72"/>
      <c r="C12" s="73"/>
      <c r="D12" s="74"/>
      <c r="E12" s="79"/>
      <c r="F12" s="73"/>
      <c r="G12" s="196"/>
      <c r="H12" s="109" t="s">
        <v>162</v>
      </c>
      <c r="I12" s="109"/>
      <c r="J12" s="73"/>
      <c r="K12" s="73"/>
      <c r="L12" s="72"/>
      <c r="M12" s="72"/>
      <c r="N12" s="72"/>
    </row>
    <row r="13" spans="2:14" s="18" customFormat="1" x14ac:dyDescent="0.3">
      <c r="B13" s="72"/>
      <c r="C13" s="73"/>
      <c r="D13" s="74"/>
      <c r="E13" s="79"/>
      <c r="F13" s="73"/>
      <c r="G13" s="196"/>
      <c r="H13" s="109" t="s">
        <v>163</v>
      </c>
      <c r="I13" s="109"/>
      <c r="J13" s="73"/>
      <c r="K13" s="73"/>
      <c r="L13" s="72"/>
      <c r="M13" s="72"/>
      <c r="N13" s="72"/>
    </row>
    <row r="14" spans="2:14" s="18" customFormat="1" x14ac:dyDescent="0.3">
      <c r="B14" s="72"/>
      <c r="C14" s="73"/>
      <c r="D14" s="74"/>
      <c r="E14" s="79"/>
      <c r="F14" s="73"/>
      <c r="G14" s="196"/>
      <c r="H14" s="109" t="s">
        <v>164</v>
      </c>
      <c r="I14" s="109"/>
      <c r="J14" s="73"/>
      <c r="K14" s="73"/>
      <c r="L14" s="72"/>
      <c r="M14" s="72"/>
      <c r="N14" s="72"/>
    </row>
    <row r="15" spans="2:14" s="18" customFormat="1" x14ac:dyDescent="0.3">
      <c r="B15" s="72"/>
      <c r="C15" s="73"/>
      <c r="D15" s="74"/>
      <c r="E15" s="79"/>
      <c r="F15" s="73"/>
      <c r="G15" s="196"/>
      <c r="H15" s="109" t="s">
        <v>166</v>
      </c>
      <c r="I15" s="109"/>
      <c r="J15" s="73"/>
      <c r="K15" s="73"/>
      <c r="L15" s="72"/>
      <c r="M15" s="72"/>
      <c r="N15" s="72"/>
    </row>
    <row r="16" spans="2:14" s="18" customFormat="1" x14ac:dyDescent="0.3">
      <c r="B16" s="72"/>
      <c r="C16" s="73"/>
      <c r="D16" s="74"/>
      <c r="E16" s="79"/>
      <c r="F16" s="73"/>
      <c r="G16" s="197"/>
      <c r="H16" s="109" t="s">
        <v>167</v>
      </c>
      <c r="I16" s="109"/>
      <c r="J16" s="73"/>
      <c r="K16" s="73"/>
      <c r="L16" s="72"/>
      <c r="M16" s="72"/>
      <c r="N16" s="72"/>
    </row>
    <row r="17" spans="2:15" s="18" customFormat="1" ht="18.75" customHeight="1" x14ac:dyDescent="0.3">
      <c r="B17" s="72"/>
      <c r="C17" s="73"/>
      <c r="D17" s="74"/>
      <c r="E17" s="79"/>
      <c r="F17" s="73"/>
      <c r="G17" s="196" t="s">
        <v>218</v>
      </c>
      <c r="H17" s="110" t="s">
        <v>168</v>
      </c>
      <c r="I17" s="109"/>
      <c r="J17" s="73"/>
      <c r="K17" s="73"/>
      <c r="L17" s="72"/>
      <c r="M17" s="72"/>
      <c r="N17" s="72"/>
    </row>
    <row r="18" spans="2:15" s="18" customFormat="1" x14ac:dyDescent="0.3">
      <c r="B18" s="72"/>
      <c r="C18" s="73"/>
      <c r="D18" s="74"/>
      <c r="E18" s="79"/>
      <c r="F18" s="73"/>
      <c r="G18" s="196"/>
      <c r="H18" s="109" t="s">
        <v>169</v>
      </c>
      <c r="I18" s="109"/>
      <c r="J18" s="73"/>
      <c r="K18" s="73"/>
      <c r="L18" s="72"/>
      <c r="M18" s="72"/>
      <c r="N18" s="72"/>
    </row>
    <row r="19" spans="2:15" s="18" customFormat="1" x14ac:dyDescent="0.3">
      <c r="B19" s="72"/>
      <c r="C19" s="73"/>
      <c r="D19" s="74"/>
      <c r="E19" s="79"/>
      <c r="F19" s="73"/>
      <c r="G19" s="197"/>
      <c r="H19" s="109" t="s">
        <v>170</v>
      </c>
      <c r="I19" s="109"/>
      <c r="J19" s="73"/>
      <c r="K19" s="73"/>
      <c r="L19" s="72"/>
      <c r="M19" s="72"/>
      <c r="N19" s="72"/>
    </row>
    <row r="20" spans="2:15" s="18" customFormat="1" ht="26.4" x14ac:dyDescent="0.3">
      <c r="B20" s="72"/>
      <c r="C20" s="73"/>
      <c r="D20" s="74"/>
      <c r="E20" s="79"/>
      <c r="F20" s="73"/>
      <c r="G20" s="112" t="s">
        <v>171</v>
      </c>
      <c r="H20" s="109" t="s">
        <v>172</v>
      </c>
      <c r="I20" s="109"/>
      <c r="J20" s="73"/>
      <c r="K20" s="73"/>
      <c r="L20" s="72"/>
      <c r="M20" s="72"/>
      <c r="N20" s="72"/>
    </row>
    <row r="21" spans="2:15" s="18" customFormat="1" ht="26.4" x14ac:dyDescent="0.3">
      <c r="B21" s="72"/>
      <c r="C21" s="73"/>
      <c r="D21" s="74"/>
      <c r="E21" s="79"/>
      <c r="F21" s="73"/>
      <c r="G21" s="195" t="s">
        <v>219</v>
      </c>
      <c r="H21" s="109" t="s">
        <v>220</v>
      </c>
      <c r="I21" s="109"/>
      <c r="J21" s="73"/>
      <c r="K21" s="73"/>
      <c r="L21" s="72"/>
      <c r="M21" s="72"/>
      <c r="N21" s="72"/>
    </row>
    <row r="22" spans="2:15" ht="66.599999999999994" thickBot="1" x14ac:dyDescent="0.35">
      <c r="G22" s="197"/>
      <c r="H22" s="109" t="s">
        <v>221</v>
      </c>
      <c r="I22" s="109"/>
    </row>
    <row r="23" spans="2:15" s="21" customFormat="1" ht="85.5" customHeight="1" thickBot="1" x14ac:dyDescent="0.35">
      <c r="B23" s="53" t="s">
        <v>8</v>
      </c>
      <c r="C23" s="54" t="s">
        <v>9</v>
      </c>
      <c r="D23" s="54" t="s">
        <v>10</v>
      </c>
      <c r="E23" s="80" t="s">
        <v>11</v>
      </c>
      <c r="F23" s="54" t="s">
        <v>12</v>
      </c>
      <c r="G23" s="198" t="s">
        <v>13</v>
      </c>
      <c r="H23" s="198"/>
      <c r="I23" s="111" t="s">
        <v>182</v>
      </c>
      <c r="J23" s="42" t="s">
        <v>1</v>
      </c>
      <c r="K23" s="42" t="s">
        <v>0</v>
      </c>
      <c r="L23" s="75" t="s">
        <v>2</v>
      </c>
      <c r="M23" s="42" t="s">
        <v>14</v>
      </c>
      <c r="N23" s="43" t="s">
        <v>15</v>
      </c>
      <c r="O23" s="20"/>
    </row>
    <row r="24" spans="2:15" ht="16.05" customHeight="1" x14ac:dyDescent="0.3">
      <c r="B24" s="208">
        <v>1</v>
      </c>
      <c r="C24" s="192" t="s">
        <v>185</v>
      </c>
      <c r="D24" s="182" t="s">
        <v>17</v>
      </c>
      <c r="E24" s="141" t="s">
        <v>18</v>
      </c>
      <c r="F24" s="141" t="s">
        <v>19</v>
      </c>
      <c r="G24" s="141" t="s">
        <v>20</v>
      </c>
      <c r="H24" s="5" t="s">
        <v>188</v>
      </c>
      <c r="I24" s="70"/>
      <c r="J24" s="70" t="s">
        <v>3</v>
      </c>
      <c r="K24" s="23" t="str">
        <f>IF(OR(J24={"Fully compliant (100%)"}),"2",IF(OR(J24={"Partially compliant (50 - 99%)"}),"1",IF(OR(J24={"Not compliant (0 - 49%)"}),"0")))</f>
        <v>2</v>
      </c>
      <c r="L24" s="4"/>
      <c r="M24" s="31"/>
      <c r="N24" s="4"/>
    </row>
    <row r="25" spans="2:15" ht="33.75" customHeight="1" x14ac:dyDescent="0.3">
      <c r="B25" s="151"/>
      <c r="C25" s="176"/>
      <c r="D25" s="149"/>
      <c r="E25" s="142"/>
      <c r="F25" s="142"/>
      <c r="G25" s="142"/>
      <c r="H25" s="5" t="s">
        <v>186</v>
      </c>
      <c r="I25" s="70"/>
      <c r="J25" s="70" t="s">
        <v>3</v>
      </c>
      <c r="K25" s="23" t="str">
        <f>IF(OR(J25={"Fully compliant (100%)"}),"2",IF(OR(J25={"Partially compliant (50 - 99%)"}),"1",IF(OR(J25={"Not compliant (0 - 49%)"}),"0")))</f>
        <v>2</v>
      </c>
      <c r="L25" s="4"/>
      <c r="M25" s="31"/>
      <c r="N25" s="4"/>
    </row>
    <row r="26" spans="2:15" ht="33.75" customHeight="1" x14ac:dyDescent="0.3">
      <c r="B26" s="152"/>
      <c r="C26" s="176"/>
      <c r="D26" s="153"/>
      <c r="E26" s="143"/>
      <c r="F26" s="143"/>
      <c r="G26" s="143"/>
      <c r="H26" s="5" t="s">
        <v>224</v>
      </c>
      <c r="I26" s="70"/>
      <c r="J26" s="70"/>
      <c r="K26" s="23"/>
      <c r="L26" s="4"/>
      <c r="M26" s="31"/>
      <c r="N26" s="4"/>
    </row>
    <row r="27" spans="2:15" ht="38.1" customHeight="1" x14ac:dyDescent="0.3">
      <c r="B27" s="41">
        <v>2</v>
      </c>
      <c r="C27" s="176"/>
      <c r="D27" s="76" t="s">
        <v>21</v>
      </c>
      <c r="E27" s="29" t="s">
        <v>237</v>
      </c>
      <c r="F27" s="45" t="s">
        <v>19</v>
      </c>
      <c r="G27" s="32" t="s">
        <v>22</v>
      </c>
      <c r="H27" s="29" t="s">
        <v>229</v>
      </c>
      <c r="I27" s="83"/>
      <c r="J27" s="70" t="s">
        <v>3</v>
      </c>
      <c r="K27" s="23" t="str">
        <f>IF(OR(J27={"Fully compliant (100%)"}),"2",IF(OR(J27={"Partially compliant (50 - 99%)"}),"1",IF(OR(J27={"Not compliant (0 - 49%)"}),"0")))</f>
        <v>2</v>
      </c>
      <c r="L27" s="4"/>
      <c r="M27" s="31"/>
      <c r="N27" s="4"/>
    </row>
    <row r="28" spans="2:15" ht="57" customHeight="1" x14ac:dyDescent="0.3">
      <c r="B28" s="114">
        <v>3</v>
      </c>
      <c r="C28" s="176"/>
      <c r="D28" s="57"/>
      <c r="E28" s="69" t="s">
        <v>23</v>
      </c>
      <c r="F28" s="60" t="s">
        <v>16</v>
      </c>
      <c r="G28" s="63" t="s">
        <v>173</v>
      </c>
      <c r="H28" s="5" t="s">
        <v>238</v>
      </c>
      <c r="I28" s="70"/>
      <c r="J28" s="70" t="s">
        <v>3</v>
      </c>
      <c r="K28" s="23" t="str">
        <f>IF(OR(J28={"Fully compliant (100%)"}),"2",IF(OR(J28={"Partially compliant (50 - 99%)"}),"1",IF(OR(J28={"Not compliant (0 - 49%)"}),"0")))</f>
        <v>2</v>
      </c>
      <c r="L28" s="4"/>
      <c r="M28" s="31"/>
      <c r="N28" s="4"/>
    </row>
    <row r="29" spans="2:15" ht="36" customHeight="1" x14ac:dyDescent="0.3">
      <c r="B29" s="150">
        <v>4</v>
      </c>
      <c r="C29" s="176"/>
      <c r="D29" s="57" t="s">
        <v>24</v>
      </c>
      <c r="E29" s="202" t="s">
        <v>236</v>
      </c>
      <c r="F29" s="199"/>
      <c r="G29" s="205" t="s">
        <v>176</v>
      </c>
      <c r="H29" s="29" t="s">
        <v>248</v>
      </c>
      <c r="I29" s="83"/>
      <c r="J29" s="70" t="s">
        <v>3</v>
      </c>
      <c r="K29" s="23" t="str">
        <f>IF(OR(J29={"Fully compliant (100%)"}),"2",IF(OR(J29={"Partially compliant (50 - 99%)"}),"1",IF(OR(J29={"Not compliant (0 - 49%)"}),"0")))</f>
        <v>2</v>
      </c>
      <c r="L29" s="4"/>
      <c r="M29" s="31"/>
      <c r="N29" s="4"/>
      <c r="O29" s="19"/>
    </row>
    <row r="30" spans="2:15" ht="36" customHeight="1" x14ac:dyDescent="0.3">
      <c r="B30" s="151"/>
      <c r="C30" s="176"/>
      <c r="D30" s="117"/>
      <c r="E30" s="203"/>
      <c r="F30" s="204"/>
      <c r="G30" s="172"/>
      <c r="H30" s="29" t="s">
        <v>245</v>
      </c>
      <c r="I30" s="118"/>
      <c r="J30" s="116"/>
      <c r="K30" s="23"/>
      <c r="L30" s="4"/>
      <c r="M30" s="31"/>
      <c r="N30" s="4"/>
      <c r="O30" s="19"/>
    </row>
    <row r="31" spans="2:15" ht="36" customHeight="1" x14ac:dyDescent="0.3">
      <c r="B31" s="151"/>
      <c r="C31" s="176"/>
      <c r="D31" s="117"/>
      <c r="E31" s="203"/>
      <c r="F31" s="204"/>
      <c r="G31" s="172"/>
      <c r="H31" s="29" t="s">
        <v>246</v>
      </c>
      <c r="I31" s="118"/>
      <c r="J31" s="116"/>
      <c r="K31" s="23"/>
      <c r="L31" s="4"/>
      <c r="M31" s="31"/>
      <c r="N31" s="4"/>
      <c r="O31" s="19"/>
    </row>
    <row r="32" spans="2:15" ht="36" customHeight="1" x14ac:dyDescent="0.3">
      <c r="B32" s="151"/>
      <c r="C32" s="176"/>
      <c r="D32" s="117"/>
      <c r="E32" s="203"/>
      <c r="F32" s="204"/>
      <c r="G32" s="172"/>
      <c r="H32" s="29" t="s">
        <v>247</v>
      </c>
      <c r="I32" s="118"/>
      <c r="J32" s="116"/>
      <c r="K32" s="23"/>
      <c r="L32" s="4"/>
      <c r="M32" s="31"/>
      <c r="N32" s="4"/>
      <c r="O32" s="19"/>
    </row>
    <row r="33" spans="2:15" ht="30" x14ac:dyDescent="0.3">
      <c r="B33" s="201"/>
      <c r="C33" s="176"/>
      <c r="D33" s="57"/>
      <c r="E33" s="203"/>
      <c r="F33" s="204"/>
      <c r="G33" s="172"/>
      <c r="H33" s="29" t="s">
        <v>189</v>
      </c>
      <c r="I33" s="83"/>
      <c r="J33" s="70"/>
      <c r="K33" s="23"/>
      <c r="L33" s="4"/>
      <c r="M33" s="31"/>
      <c r="N33" s="4"/>
      <c r="O33" s="19"/>
    </row>
    <row r="34" spans="2:15" ht="87" customHeight="1" x14ac:dyDescent="0.3">
      <c r="B34" s="41">
        <v>5</v>
      </c>
      <c r="C34" s="176"/>
      <c r="D34" s="119" t="s">
        <v>25</v>
      </c>
      <c r="E34" s="5"/>
      <c r="F34" s="44" t="s">
        <v>19</v>
      </c>
      <c r="G34" s="102" t="s">
        <v>239</v>
      </c>
      <c r="H34" s="5" t="s">
        <v>175</v>
      </c>
      <c r="I34" s="70"/>
      <c r="J34" s="70" t="s">
        <v>3</v>
      </c>
      <c r="K34" s="23" t="str">
        <f>IF(OR(J34={"Fully compliant (100%)"}),"2",IF(OR(J34={"Partially compliant (50 - 99%)"}),"1",IF(OR(J34={"Not compliant (0 - 49%)"}),"0")))</f>
        <v>2</v>
      </c>
      <c r="L34" s="4"/>
      <c r="M34" s="31"/>
      <c r="N34" s="4"/>
      <c r="O34" s="19"/>
    </row>
    <row r="35" spans="2:15" ht="60" x14ac:dyDescent="0.3">
      <c r="B35" s="100"/>
      <c r="C35" s="176"/>
      <c r="D35" s="117" t="s">
        <v>187</v>
      </c>
      <c r="E35" s="97" t="s">
        <v>26</v>
      </c>
      <c r="F35" s="67"/>
      <c r="G35" s="98" t="s">
        <v>27</v>
      </c>
      <c r="H35" s="32" t="s">
        <v>28</v>
      </c>
      <c r="I35" s="71"/>
      <c r="J35" s="70" t="s">
        <v>3</v>
      </c>
      <c r="K35" s="23" t="str">
        <f>IF(OR(J35={"Fully compliant (100%)"}),"2",IF(OR(J35={"Partially compliant (50 - 99%)"}),"1",IF(OR(J35={"Not compliant (0 - 49%)"}),"0")))</f>
        <v>2</v>
      </c>
      <c r="L35" s="4"/>
      <c r="M35" s="31"/>
      <c r="N35" s="4"/>
      <c r="O35" s="19"/>
    </row>
    <row r="36" spans="2:15" ht="60" x14ac:dyDescent="0.3">
      <c r="B36" s="99">
        <v>7</v>
      </c>
      <c r="C36" s="176"/>
      <c r="D36" s="119" t="s">
        <v>146</v>
      </c>
      <c r="E36" s="82">
        <v>52</v>
      </c>
      <c r="F36" s="65"/>
      <c r="G36" s="82" t="s">
        <v>29</v>
      </c>
      <c r="H36" s="29" t="s">
        <v>223</v>
      </c>
      <c r="I36" s="83"/>
      <c r="J36" s="70" t="s">
        <v>3</v>
      </c>
      <c r="K36" s="23" t="str">
        <f>IF(OR(J36={"Fully compliant (100%)"}),"2",IF(OR(J36={"Partially compliant (50 - 99%)"}),"1",IF(OR(J36={"Not compliant (0 - 49%)"}),"0")))</f>
        <v>2</v>
      </c>
      <c r="L36" s="4"/>
      <c r="M36" s="31"/>
      <c r="N36" s="4"/>
      <c r="O36" s="19"/>
    </row>
    <row r="37" spans="2:15" ht="60" x14ac:dyDescent="0.3">
      <c r="B37" s="150">
        <v>8</v>
      </c>
      <c r="C37" s="176"/>
      <c r="D37" s="148" t="s">
        <v>30</v>
      </c>
      <c r="E37" s="199" t="s">
        <v>31</v>
      </c>
      <c r="F37" s="199" t="s">
        <v>19</v>
      </c>
      <c r="G37" s="199" t="s">
        <v>32</v>
      </c>
      <c r="H37" s="29" t="s">
        <v>183</v>
      </c>
      <c r="I37" s="83"/>
      <c r="J37" s="70" t="s">
        <v>3</v>
      </c>
      <c r="K37" s="23" t="str">
        <f>IF(OR(J37={"Fully compliant (100%)"}),"2",IF(OR(J37={"Partially compliant (50 - 99%)"}),"1",IF(OR(J37={"Not compliant (0 - 49%)"}),"0")))</f>
        <v>2</v>
      </c>
      <c r="L37" s="4"/>
      <c r="M37" s="31"/>
      <c r="N37" s="4"/>
      <c r="O37" s="19"/>
    </row>
    <row r="38" spans="2:15" ht="30" x14ac:dyDescent="0.3">
      <c r="B38" s="152"/>
      <c r="C38" s="176"/>
      <c r="D38" s="153"/>
      <c r="E38" s="200"/>
      <c r="F38" s="200"/>
      <c r="G38" s="200"/>
      <c r="H38" s="29" t="s">
        <v>184</v>
      </c>
      <c r="I38" s="83"/>
      <c r="J38" s="70"/>
      <c r="K38" s="23"/>
      <c r="L38" s="4"/>
      <c r="M38" s="31"/>
      <c r="N38" s="4"/>
      <c r="O38" s="19"/>
    </row>
    <row r="39" spans="2:15" ht="47.1" customHeight="1" x14ac:dyDescent="0.3">
      <c r="B39" s="150">
        <v>9</v>
      </c>
      <c r="C39" s="176"/>
      <c r="D39" s="148" t="s">
        <v>33</v>
      </c>
      <c r="E39" s="202" t="s">
        <v>34</v>
      </c>
      <c r="F39" s="199" t="s">
        <v>19</v>
      </c>
      <c r="G39" s="206" t="s">
        <v>150</v>
      </c>
      <c r="H39" s="29" t="s">
        <v>190</v>
      </c>
      <c r="I39" s="83"/>
      <c r="J39" s="70" t="s">
        <v>3</v>
      </c>
      <c r="K39" s="23" t="str">
        <f>IF(OR(J39={"Fully compliant (100%)"}),"2",IF(OR(J39={"Partially compliant (50 - 99%)"}),"1",IF(OR(J39={"Not compliant (0 - 49%)"}),"0")))</f>
        <v>2</v>
      </c>
      <c r="L39" s="4"/>
      <c r="M39" s="31"/>
      <c r="N39" s="4"/>
      <c r="O39" s="19"/>
    </row>
    <row r="40" spans="2:15" ht="30" x14ac:dyDescent="0.3">
      <c r="B40" s="151"/>
      <c r="C40" s="176"/>
      <c r="D40" s="149"/>
      <c r="E40" s="203"/>
      <c r="F40" s="204"/>
      <c r="G40" s="207"/>
      <c r="H40" s="29" t="s">
        <v>191</v>
      </c>
      <c r="I40" s="83"/>
      <c r="J40" s="70"/>
      <c r="K40" s="23"/>
      <c r="L40" s="4"/>
      <c r="M40" s="31"/>
      <c r="N40" s="4"/>
      <c r="O40" s="19"/>
    </row>
    <row r="41" spans="2:15" ht="86.1" customHeight="1" x14ac:dyDescent="0.3">
      <c r="B41" s="99">
        <v>12</v>
      </c>
      <c r="C41" s="176"/>
      <c r="D41" s="56" t="s">
        <v>35</v>
      </c>
      <c r="E41" s="82" t="s">
        <v>36</v>
      </c>
      <c r="F41" s="68"/>
      <c r="G41" s="67" t="s">
        <v>37</v>
      </c>
      <c r="H41" s="29" t="s">
        <v>192</v>
      </c>
      <c r="I41" s="83"/>
      <c r="J41" s="70" t="s">
        <v>3</v>
      </c>
      <c r="K41" s="23" t="str">
        <f>IF(OR(J41={"Fully compliant (100%)"}),"2",IF(OR(J41={"Partially compliant (50 - 99%)"}),"1",IF(OR(J41={"Not compliant (0 - 49%)"}),"0")))</f>
        <v>2</v>
      </c>
      <c r="L41" s="4"/>
      <c r="M41" s="31"/>
      <c r="N41" s="4"/>
      <c r="O41" s="19"/>
    </row>
    <row r="42" spans="2:15" ht="72" customHeight="1" x14ac:dyDescent="0.3">
      <c r="B42" s="150">
        <v>13</v>
      </c>
      <c r="C42" s="176"/>
      <c r="D42" s="148" t="s">
        <v>38</v>
      </c>
      <c r="E42" s="144" t="s">
        <v>39</v>
      </c>
      <c r="F42" s="147"/>
      <c r="G42" s="160" t="s">
        <v>40</v>
      </c>
      <c r="H42" s="5" t="s">
        <v>240</v>
      </c>
      <c r="I42" s="70"/>
      <c r="J42" s="70" t="s">
        <v>3</v>
      </c>
      <c r="K42" s="23" t="str">
        <f>IF(OR(J42={"Fully compliant (100%)"}),"2",IF(OR(J42={"Partially compliant (50 - 99%)"}),"1",IF(OR(J42={"Not compliant (0 - 49%)"}),"0")))</f>
        <v>2</v>
      </c>
      <c r="L42" s="4"/>
      <c r="M42" s="4"/>
      <c r="N42" s="4"/>
      <c r="O42" s="19"/>
    </row>
    <row r="43" spans="2:15" ht="45" x14ac:dyDescent="0.3">
      <c r="B43" s="151"/>
      <c r="C43" s="176"/>
      <c r="D43" s="149"/>
      <c r="E43" s="145"/>
      <c r="F43" s="142"/>
      <c r="G43" s="162"/>
      <c r="H43" s="5" t="s">
        <v>41</v>
      </c>
      <c r="I43" s="70"/>
      <c r="J43" s="70" t="s">
        <v>3</v>
      </c>
      <c r="K43" s="23" t="str">
        <f>IF(OR(J43={"Fully compliant (100%)"}),"2",IF(OR(J43={"Partially compliant (50 - 99%)"}),"1",IF(OR(J43={"Not compliant (0 - 49%)"}),"0")))</f>
        <v>2</v>
      </c>
      <c r="L43" s="4"/>
      <c r="M43" s="4"/>
      <c r="N43" s="4"/>
      <c r="O43" s="19"/>
    </row>
    <row r="44" spans="2:15" ht="90" x14ac:dyDescent="0.3">
      <c r="B44" s="151"/>
      <c r="C44" s="176"/>
      <c r="D44" s="149"/>
      <c r="E44" s="145"/>
      <c r="F44" s="142"/>
      <c r="G44" s="162"/>
      <c r="H44" s="5" t="s">
        <v>193</v>
      </c>
      <c r="I44" s="70"/>
      <c r="J44" s="70" t="s">
        <v>3</v>
      </c>
      <c r="K44" s="23" t="str">
        <f>IF(OR(J44={"Fully compliant (100%)"}),"2",IF(OR(J44={"Partially compliant (50 - 99%)"}),"1",IF(OR(J44={"Not compliant (0 - 49%)"}),"0")))</f>
        <v>2</v>
      </c>
      <c r="L44" s="4"/>
      <c r="M44" s="4"/>
      <c r="N44" s="4"/>
      <c r="O44" s="19"/>
    </row>
    <row r="45" spans="2:15" ht="45" x14ac:dyDescent="0.3">
      <c r="B45" s="152"/>
      <c r="C45" s="183"/>
      <c r="D45" s="153"/>
      <c r="E45" s="146"/>
      <c r="F45" s="143"/>
      <c r="G45" s="161"/>
      <c r="H45" s="5" t="s">
        <v>42</v>
      </c>
      <c r="I45" s="70"/>
      <c r="J45" s="70" t="s">
        <v>3</v>
      </c>
      <c r="K45" s="23" t="str">
        <f>IF(OR(J45={"Fully compliant (100%)"}),"2",IF(OR(J45={"Partially compliant (50 - 99%)"}),"1",IF(OR(J45={"Not compliant (0 - 49%)"}),"0")))</f>
        <v>2</v>
      </c>
      <c r="L45" s="4"/>
      <c r="M45" s="4"/>
      <c r="N45" s="4"/>
      <c r="O45" s="19"/>
    </row>
    <row r="46" spans="2:15" x14ac:dyDescent="0.3">
      <c r="B46" s="106"/>
      <c r="C46" s="106"/>
      <c r="D46" s="106"/>
      <c r="E46" s="106"/>
      <c r="F46" s="106"/>
      <c r="G46" s="106"/>
      <c r="H46" s="106"/>
      <c r="I46" s="106"/>
      <c r="J46" s="106"/>
      <c r="K46" s="106"/>
      <c r="L46" s="106"/>
      <c r="M46" s="106"/>
      <c r="N46" s="107"/>
      <c r="O46" s="19"/>
    </row>
    <row r="47" spans="2:15" ht="135" x14ac:dyDescent="0.3">
      <c r="B47" s="41">
        <v>14</v>
      </c>
      <c r="C47" s="175" t="s">
        <v>43</v>
      </c>
      <c r="D47" s="119" t="s">
        <v>235</v>
      </c>
      <c r="E47" s="5" t="s">
        <v>44</v>
      </c>
      <c r="F47" s="44"/>
      <c r="G47" s="59" t="s">
        <v>45</v>
      </c>
      <c r="H47" s="5" t="s">
        <v>46</v>
      </c>
      <c r="I47" s="70"/>
      <c r="J47" s="70" t="s">
        <v>3</v>
      </c>
      <c r="K47" s="23" t="str">
        <f>IF(OR(J47={"Fully compliant (100%)"}),"2",IF(OR(J47={"Partially compliant (50 - 99%)"}),"1",IF(OR(J47={"Not compliant (0 - 49%)"}),"0")))</f>
        <v>2</v>
      </c>
      <c r="L47" s="4"/>
      <c r="M47" s="31"/>
      <c r="N47" s="4"/>
      <c r="O47" s="19"/>
    </row>
    <row r="48" spans="2:15" ht="77.099999999999994" customHeight="1" x14ac:dyDescent="0.3">
      <c r="B48" s="150">
        <v>16</v>
      </c>
      <c r="C48" s="176"/>
      <c r="D48" s="148" t="s">
        <v>47</v>
      </c>
      <c r="E48" s="190" t="s">
        <v>48</v>
      </c>
      <c r="F48" s="191"/>
      <c r="G48" s="163" t="s">
        <v>49</v>
      </c>
      <c r="H48" s="5" t="s">
        <v>194</v>
      </c>
      <c r="I48" s="70"/>
      <c r="J48" s="70" t="s">
        <v>3</v>
      </c>
      <c r="K48" s="23" t="str">
        <f>IF(OR(J48={"Fully compliant (100%)"}),"2",IF(OR(J48={"Partially compliant (50 - 99%)"}),"1",IF(OR(J48={"Not compliant (0 - 49%)"}),"0")))</f>
        <v>2</v>
      </c>
      <c r="L48" s="4"/>
      <c r="M48" s="31"/>
      <c r="N48" s="4"/>
      <c r="O48" s="19"/>
    </row>
    <row r="49" spans="2:15" ht="45" x14ac:dyDescent="0.3">
      <c r="B49" s="151"/>
      <c r="C49" s="176"/>
      <c r="D49" s="149"/>
      <c r="E49" s="154"/>
      <c r="F49" s="156"/>
      <c r="G49" s="158"/>
      <c r="H49" s="5" t="s">
        <v>50</v>
      </c>
      <c r="I49" s="70"/>
      <c r="J49" s="70" t="s">
        <v>3</v>
      </c>
      <c r="K49" s="23" t="str">
        <f>IF(OR(J49={"Fully compliant (100%)"}),"2",IF(OR(J49={"Partially compliant (50 - 99%)"}),"1",IF(OR(J49={"Not compliant (0 - 49%)"}),"0")))</f>
        <v>2</v>
      </c>
      <c r="L49" s="4"/>
      <c r="M49" s="31"/>
      <c r="N49" s="4"/>
      <c r="O49" s="19"/>
    </row>
    <row r="50" spans="2:15" ht="30" x14ac:dyDescent="0.3">
      <c r="B50" s="152"/>
      <c r="C50" s="176"/>
      <c r="D50" s="153"/>
      <c r="E50" s="155"/>
      <c r="F50" s="157"/>
      <c r="G50" s="159"/>
      <c r="H50" s="5" t="s">
        <v>156</v>
      </c>
      <c r="I50" s="70"/>
      <c r="J50" s="70" t="s">
        <v>3</v>
      </c>
      <c r="K50" s="23" t="str">
        <f>IF(OR(J50={"Fully compliant (100%)"}),"2",IF(OR(J50={"Partially compliant (50 - 99%)"}),"1",IF(OR(J50={"Not compliant (0 - 49%)"}),"0")))</f>
        <v>2</v>
      </c>
      <c r="L50" s="4"/>
      <c r="M50" s="31"/>
      <c r="N50" s="4"/>
      <c r="O50" s="19"/>
    </row>
    <row r="51" spans="2:15" ht="45" x14ac:dyDescent="0.3">
      <c r="B51" s="150">
        <v>17</v>
      </c>
      <c r="C51" s="176"/>
      <c r="D51" s="148" t="s">
        <v>51</v>
      </c>
      <c r="E51" s="190" t="s">
        <v>52</v>
      </c>
      <c r="F51" s="191"/>
      <c r="G51" s="163" t="s">
        <v>53</v>
      </c>
      <c r="H51" s="5" t="s">
        <v>54</v>
      </c>
      <c r="I51" s="70"/>
      <c r="J51" s="70" t="s">
        <v>3</v>
      </c>
      <c r="K51" s="23" t="str">
        <f>IF(OR(J51={"Fully compliant (100%)"}),"2",IF(OR(J51={"Partially compliant (50 - 99%)"}),"1",IF(OR(J51={"Not compliant (0 - 49%)"}),"0")))</f>
        <v>2</v>
      </c>
      <c r="L51" s="4"/>
      <c r="M51" s="31"/>
      <c r="N51" s="4"/>
      <c r="O51" s="19"/>
    </row>
    <row r="52" spans="2:15" ht="30" x14ac:dyDescent="0.3">
      <c r="B52" s="152"/>
      <c r="C52" s="176"/>
      <c r="D52" s="153"/>
      <c r="E52" s="155"/>
      <c r="F52" s="157"/>
      <c r="G52" s="159"/>
      <c r="H52" s="5" t="s">
        <v>225</v>
      </c>
      <c r="I52" s="70"/>
      <c r="J52" s="70" t="s">
        <v>3</v>
      </c>
      <c r="K52" s="23" t="str">
        <f>IF(OR(J52={"Fully compliant (100%)"}),"2",IF(OR(J52={"Partially compliant (50 - 99%)"}),"1",IF(OR(J52={"Not compliant (0 - 49%)"}),"0")))</f>
        <v>2</v>
      </c>
      <c r="L52" s="4"/>
      <c r="M52" s="31"/>
      <c r="N52" s="4"/>
      <c r="O52" s="19"/>
    </row>
    <row r="53" spans="2:15" ht="30" x14ac:dyDescent="0.3">
      <c r="B53" s="150">
        <v>18</v>
      </c>
      <c r="C53" s="176"/>
      <c r="D53" s="148" t="s">
        <v>55</v>
      </c>
      <c r="E53" s="144" t="s">
        <v>56</v>
      </c>
      <c r="F53" s="147"/>
      <c r="G53" s="160" t="s">
        <v>57</v>
      </c>
      <c r="H53" s="5" t="s">
        <v>58</v>
      </c>
      <c r="I53" s="70"/>
      <c r="J53" s="70" t="s">
        <v>3</v>
      </c>
      <c r="K53" s="23" t="str">
        <f>IF(OR(J53={"Fully compliant (100%)"}),"2",IF(OR(J53={"Partially compliant (50 - 99%)"}),"1",IF(OR(J53={"Not compliant (0 - 49%)"}),"0")))</f>
        <v>2</v>
      </c>
      <c r="L53" s="4"/>
      <c r="M53" s="31"/>
      <c r="N53" s="35"/>
      <c r="O53" s="19"/>
    </row>
    <row r="54" spans="2:15" ht="45" x14ac:dyDescent="0.3">
      <c r="B54" s="151"/>
      <c r="C54" s="176"/>
      <c r="D54" s="149"/>
      <c r="E54" s="145"/>
      <c r="F54" s="142"/>
      <c r="G54" s="162"/>
      <c r="H54" s="5" t="s">
        <v>195</v>
      </c>
      <c r="I54" s="70"/>
      <c r="J54" s="70" t="s">
        <v>3</v>
      </c>
      <c r="K54" s="23" t="str">
        <f>IF(OR(J54={"Fully compliant (100%)"}),"2",IF(OR(J54={"Partially compliant (50 - 99%)"}),"1",IF(OR(J54={"Not compliant (0 - 49%)"}),"0")))</f>
        <v>2</v>
      </c>
      <c r="L54" s="4"/>
      <c r="M54" s="31"/>
      <c r="N54" s="35"/>
      <c r="O54" s="19"/>
    </row>
    <row r="55" spans="2:15" ht="30" x14ac:dyDescent="0.3">
      <c r="B55" s="152"/>
      <c r="C55" s="176"/>
      <c r="D55" s="153"/>
      <c r="E55" s="145"/>
      <c r="F55" s="142"/>
      <c r="G55" s="162"/>
      <c r="H55" s="5" t="s">
        <v>196</v>
      </c>
      <c r="I55" s="70"/>
      <c r="J55" s="70" t="s">
        <v>3</v>
      </c>
      <c r="K55" s="23" t="str">
        <f>IF(OR(J55={"Fully compliant (100%)"}),"2",IF(OR(J55={"Partially compliant (50 - 99%)"}),"1",IF(OR(J55={"Not compliant (0 - 49%)"}),"0")))</f>
        <v>2</v>
      </c>
      <c r="L55" s="4"/>
      <c r="M55" s="31"/>
      <c r="N55" s="35"/>
      <c r="O55" s="19"/>
    </row>
    <row r="56" spans="2:15" ht="43.05" customHeight="1" x14ac:dyDescent="0.3">
      <c r="B56" s="101"/>
      <c r="C56" s="176"/>
      <c r="D56" s="58" t="s">
        <v>230</v>
      </c>
      <c r="E56" s="146"/>
      <c r="F56" s="143"/>
      <c r="G56" s="161"/>
      <c r="H56" s="5" t="s">
        <v>59</v>
      </c>
      <c r="I56" s="70"/>
      <c r="J56" s="70" t="s">
        <v>3</v>
      </c>
      <c r="K56" s="23" t="str">
        <f>IF(OR(J56={"Fully compliant (100%)"}),"2",IF(OR(J56={"Partially compliant (50 - 99%)"}),"1",IF(OR(J56={"Not compliant (0 - 49%)"}),"0")))</f>
        <v>2</v>
      </c>
      <c r="L56" s="4"/>
      <c r="M56" s="31"/>
      <c r="N56" s="35"/>
      <c r="O56" s="19"/>
    </row>
    <row r="57" spans="2:15" ht="50.1" customHeight="1" x14ac:dyDescent="0.3">
      <c r="B57" s="41">
        <v>20</v>
      </c>
      <c r="C57" s="176"/>
      <c r="D57" s="76" t="s">
        <v>177</v>
      </c>
      <c r="E57" s="5" t="s">
        <v>60</v>
      </c>
      <c r="F57" s="44"/>
      <c r="G57" s="59" t="s">
        <v>61</v>
      </c>
      <c r="H57" s="5" t="s">
        <v>197</v>
      </c>
      <c r="I57" s="70"/>
      <c r="J57" s="70" t="s">
        <v>3</v>
      </c>
      <c r="K57" s="23" t="str">
        <f>IF(OR(J57={"Fully compliant (100%)"}),"2",IF(OR(J57={"Partially compliant (50 - 99%)"}),"1",IF(OR(J57={"Not compliant (0 - 49%)"}),"0")))</f>
        <v>2</v>
      </c>
      <c r="L57" s="4"/>
      <c r="M57" s="36"/>
      <c r="N57" s="4"/>
      <c r="O57" s="19"/>
    </row>
    <row r="58" spans="2:15" ht="30" x14ac:dyDescent="0.3">
      <c r="B58" s="150">
        <v>21</v>
      </c>
      <c r="C58" s="176"/>
      <c r="D58" s="149" t="s">
        <v>204</v>
      </c>
      <c r="E58" s="154" t="s">
        <v>48</v>
      </c>
      <c r="F58" s="156"/>
      <c r="G58" s="158" t="s">
        <v>241</v>
      </c>
      <c r="H58" s="37" t="s">
        <v>62</v>
      </c>
      <c r="I58" s="92"/>
      <c r="J58" s="70" t="s">
        <v>3</v>
      </c>
      <c r="K58" s="23" t="str">
        <f>IF(OR(J58={"Fully compliant (100%)"}),"2",IF(OR(J58={"Partially compliant (50 - 99%)"}),"1",IF(OR(J58={"Not compliant (0 - 49%)"}),"0")))</f>
        <v>2</v>
      </c>
      <c r="L58" s="4"/>
      <c r="M58" s="31"/>
      <c r="N58" s="4"/>
      <c r="O58" s="19"/>
    </row>
    <row r="59" spans="2:15" ht="30" x14ac:dyDescent="0.3">
      <c r="B59" s="151"/>
      <c r="C59" s="176"/>
      <c r="D59" s="149"/>
      <c r="E59" s="154"/>
      <c r="F59" s="156"/>
      <c r="G59" s="158"/>
      <c r="H59" s="37" t="s">
        <v>63</v>
      </c>
      <c r="I59" s="92"/>
      <c r="J59" s="70" t="s">
        <v>3</v>
      </c>
      <c r="K59" s="23" t="str">
        <f>IF(OR(J59={"Fully compliant (100%)"}),"2",IF(OR(J59={"Partially compliant (50 - 99%)"}),"1",IF(OR(J59={"Not compliant (0 - 49%)"}),"0")))</f>
        <v>2</v>
      </c>
      <c r="L59" s="4"/>
      <c r="M59" s="31"/>
      <c r="N59" s="4"/>
      <c r="O59" s="19"/>
    </row>
    <row r="60" spans="2:15" ht="30" x14ac:dyDescent="0.3">
      <c r="B60" s="152"/>
      <c r="C60" s="176"/>
      <c r="D60" s="153"/>
      <c r="E60" s="155"/>
      <c r="F60" s="157"/>
      <c r="G60" s="159"/>
      <c r="H60" s="37" t="s">
        <v>151</v>
      </c>
      <c r="I60" s="92"/>
      <c r="J60" s="70" t="s">
        <v>3</v>
      </c>
      <c r="K60" s="23" t="str">
        <f>IF(OR(J60={"Fully compliant (100%)"}),"2",IF(OR(J60={"Partially compliant (50 - 99%)"}),"1",IF(OR(J60={"Not compliant (0 - 49%)"}),"0")))</f>
        <v>2</v>
      </c>
      <c r="L60" s="4"/>
      <c r="M60" s="31"/>
      <c r="N60" s="4"/>
      <c r="O60" s="19"/>
    </row>
    <row r="61" spans="2:15" ht="60" customHeight="1" x14ac:dyDescent="0.3">
      <c r="B61" s="150">
        <v>22</v>
      </c>
      <c r="C61" s="176"/>
      <c r="D61" s="148" t="s">
        <v>64</v>
      </c>
      <c r="E61" s="144">
        <v>65</v>
      </c>
      <c r="F61" s="147"/>
      <c r="G61" s="160" t="s">
        <v>65</v>
      </c>
      <c r="H61" s="37" t="s">
        <v>198</v>
      </c>
      <c r="I61" s="92"/>
      <c r="J61" s="70" t="s">
        <v>3</v>
      </c>
      <c r="K61" s="23" t="str">
        <f>IF(OR(J61={"Fully compliant (100%)"}),"2",IF(OR(J61={"Partially compliant (50 - 99%)"}),"1",IF(OR(J61={"Not compliant (0 - 49%)"}),"0")))</f>
        <v>2</v>
      </c>
      <c r="L61" s="4"/>
      <c r="M61" s="31"/>
      <c r="N61" s="4"/>
      <c r="O61" s="19"/>
    </row>
    <row r="62" spans="2:15" ht="45" x14ac:dyDescent="0.3">
      <c r="B62" s="152"/>
      <c r="C62" s="176"/>
      <c r="D62" s="153"/>
      <c r="E62" s="146"/>
      <c r="F62" s="143"/>
      <c r="G62" s="161"/>
      <c r="H62" s="37" t="s">
        <v>66</v>
      </c>
      <c r="I62" s="92"/>
      <c r="J62" s="70" t="s">
        <v>3</v>
      </c>
      <c r="K62" s="23" t="str">
        <f>IF(OR(J62={"Fully compliant (100%)"}),"2",IF(OR(J62={"Partially compliant (50 - 99%)"}),"1",IF(OR(J62={"Not compliant (0 - 49%)"}),"0")))</f>
        <v>2</v>
      </c>
      <c r="L62" s="4"/>
      <c r="M62" s="31"/>
      <c r="N62" s="4"/>
      <c r="O62" s="19"/>
    </row>
    <row r="63" spans="2:15" ht="45" x14ac:dyDescent="0.3">
      <c r="B63" s="41">
        <v>23</v>
      </c>
      <c r="C63" s="176"/>
      <c r="D63" s="148" t="s">
        <v>67</v>
      </c>
      <c r="E63" s="144" t="s">
        <v>68</v>
      </c>
      <c r="F63" s="44"/>
      <c r="G63" s="59" t="s">
        <v>242</v>
      </c>
      <c r="H63" s="5" t="s">
        <v>234</v>
      </c>
      <c r="I63" s="70"/>
      <c r="J63" s="70" t="s">
        <v>3</v>
      </c>
      <c r="K63" s="23" t="str">
        <f>IF(OR(J63={"Fully compliant (100%)"}),"2",IF(OR(J63={"Partially compliant (50 - 99%)"}),"1",IF(OR(J63={"Not compliant (0 - 49%)"}),"0")))</f>
        <v>2</v>
      </c>
      <c r="L63" s="4"/>
      <c r="M63" s="31"/>
      <c r="N63" s="4"/>
      <c r="O63" s="19"/>
    </row>
    <row r="64" spans="2:15" ht="75" x14ac:dyDescent="0.3">
      <c r="B64" s="41"/>
      <c r="C64" s="176"/>
      <c r="D64" s="149"/>
      <c r="E64" s="145"/>
      <c r="F64" s="61"/>
      <c r="G64" s="64"/>
      <c r="H64" s="115" t="s">
        <v>231</v>
      </c>
      <c r="I64" s="81"/>
      <c r="J64" s="81"/>
      <c r="K64" s="23"/>
      <c r="L64" s="4"/>
      <c r="M64" s="31"/>
      <c r="N64" s="4"/>
      <c r="O64" s="19"/>
    </row>
    <row r="65" spans="2:15" x14ac:dyDescent="0.3">
      <c r="B65" s="41"/>
      <c r="C65" s="105"/>
      <c r="D65" s="105"/>
      <c r="E65" s="105"/>
      <c r="F65" s="105"/>
      <c r="G65" s="105"/>
      <c r="H65" s="105"/>
      <c r="I65" s="105"/>
      <c r="J65" s="105"/>
      <c r="K65" s="23"/>
      <c r="L65" s="4"/>
      <c r="M65" s="31"/>
      <c r="N65" s="4"/>
      <c r="O65" s="19"/>
    </row>
    <row r="66" spans="2:15" ht="89.1" customHeight="1" x14ac:dyDescent="0.3">
      <c r="B66" s="99">
        <v>24</v>
      </c>
      <c r="C66" s="175" t="s">
        <v>69</v>
      </c>
      <c r="D66" s="56" t="s">
        <v>70</v>
      </c>
      <c r="E66" s="144" t="s">
        <v>71</v>
      </c>
      <c r="F66" s="147"/>
      <c r="G66" s="160" t="s">
        <v>72</v>
      </c>
      <c r="H66" s="5" t="s">
        <v>73</v>
      </c>
      <c r="I66" s="93"/>
      <c r="J66" s="70" t="s">
        <v>3</v>
      </c>
      <c r="K66" s="23" t="str">
        <f>IF(OR(J66={"Fully compliant (100%)"}),"2",IF(OR(J66={"Partially compliant (50 - 99%)"}),"1",IF(OR(J66={"Not compliant (0 - 49%)"}),"0")))</f>
        <v>2</v>
      </c>
      <c r="L66" s="4"/>
      <c r="M66" s="4"/>
      <c r="N66" s="4"/>
      <c r="O66" s="19"/>
    </row>
    <row r="67" spans="2:15" ht="60" x14ac:dyDescent="0.3">
      <c r="B67" s="41">
        <v>25</v>
      </c>
      <c r="C67" s="176"/>
      <c r="D67" s="76" t="s">
        <v>74</v>
      </c>
      <c r="E67" s="146"/>
      <c r="F67" s="143"/>
      <c r="G67" s="161"/>
      <c r="H67" s="29" t="s">
        <v>226</v>
      </c>
      <c r="I67" s="70"/>
      <c r="J67" s="70" t="s">
        <v>3</v>
      </c>
      <c r="K67" s="23" t="str">
        <f>IF(OR(J67={"Fully compliant (100%)"}),"2",IF(OR(J67={"Partially compliant (50 - 99%)"}),"1",IF(OR(J67={"Not compliant (0 - 49%)"}),"0")))</f>
        <v>2</v>
      </c>
      <c r="L67" s="4"/>
      <c r="M67" s="4"/>
      <c r="N67" s="4"/>
      <c r="O67" s="19"/>
    </row>
    <row r="68" spans="2:15" ht="30" x14ac:dyDescent="0.3">
      <c r="B68" s="150">
        <v>26</v>
      </c>
      <c r="C68" s="176"/>
      <c r="D68" s="177" t="s">
        <v>75</v>
      </c>
      <c r="E68" s="144" t="s">
        <v>76</v>
      </c>
      <c r="F68" s="147" t="s">
        <v>19</v>
      </c>
      <c r="G68" s="174" t="s">
        <v>178</v>
      </c>
      <c r="H68" s="144" t="s">
        <v>179</v>
      </c>
      <c r="I68" s="113"/>
      <c r="J68" s="70" t="s">
        <v>3</v>
      </c>
      <c r="K68" s="23" t="str">
        <f>IF(OR(J68={"Fully compliant (100%)"}),"2",IF(OR(J68={"Partially compliant (50 - 99%)"}),"1",IF(OR(J68={"Not compliant (0 - 49%)"}),"0")))</f>
        <v>2</v>
      </c>
      <c r="L68" s="4"/>
      <c r="M68" s="4"/>
      <c r="N68" s="4"/>
      <c r="O68" s="19"/>
    </row>
    <row r="69" spans="2:15" ht="30" x14ac:dyDescent="0.3">
      <c r="B69" s="151"/>
      <c r="C69" s="176"/>
      <c r="D69" s="177"/>
      <c r="E69" s="145"/>
      <c r="F69" s="142"/>
      <c r="G69" s="174"/>
      <c r="H69" s="146"/>
      <c r="I69" s="70"/>
      <c r="J69" s="70" t="s">
        <v>3</v>
      </c>
      <c r="K69" s="23" t="str">
        <f>IF(OR(J69={"Fully compliant (100%)"}),"2",IF(OR(J69={"Partially compliant (50 - 99%)"}),"1",IF(OR(J69={"Not compliant (0 - 49%)"}),"0")))</f>
        <v>2</v>
      </c>
      <c r="L69" s="4"/>
      <c r="M69" s="4"/>
      <c r="N69" s="4"/>
      <c r="O69" s="19"/>
    </row>
    <row r="70" spans="2:15" ht="30" x14ac:dyDescent="0.3">
      <c r="B70" s="152"/>
      <c r="C70" s="176"/>
      <c r="D70" s="177"/>
      <c r="E70" s="145"/>
      <c r="F70" s="142"/>
      <c r="G70" s="174"/>
      <c r="H70" s="5" t="s">
        <v>180</v>
      </c>
      <c r="I70" s="70"/>
      <c r="J70" s="70" t="s">
        <v>3</v>
      </c>
      <c r="K70" s="23" t="str">
        <f>IF(OR(J70={"Fully compliant (100%)"}),"2",IF(OR(J70={"Partially compliant (50 - 99%)"}),"1",IF(OR(J70={"Not compliant (0 - 49%)"}),"0")))</f>
        <v>2</v>
      </c>
      <c r="L70" s="4"/>
      <c r="M70" s="4"/>
      <c r="N70" s="4"/>
      <c r="O70" s="19"/>
    </row>
    <row r="71" spans="2:15" ht="60" x14ac:dyDescent="0.3">
      <c r="B71" s="101"/>
      <c r="C71" s="176"/>
      <c r="D71" s="56" t="s">
        <v>77</v>
      </c>
      <c r="E71" s="69">
        <v>68</v>
      </c>
      <c r="F71" s="60"/>
      <c r="G71" s="69" t="s">
        <v>78</v>
      </c>
      <c r="H71" s="5" t="s">
        <v>79</v>
      </c>
      <c r="I71" s="70"/>
      <c r="J71" s="70" t="s">
        <v>3</v>
      </c>
      <c r="K71" s="23" t="str">
        <f>IF(OR(J71={"Fully compliant (100%)"}),"2",IF(OR(J71={"Partially compliant (50 - 99%)"}),"1",IF(OR(J71={"Not compliant (0 - 49%)"}),"0")))</f>
        <v>2</v>
      </c>
      <c r="L71" s="4"/>
      <c r="M71" s="4"/>
      <c r="N71" s="4"/>
      <c r="O71" s="19"/>
    </row>
    <row r="72" spans="2:15" ht="105" x14ac:dyDescent="0.3">
      <c r="B72" s="41">
        <v>28</v>
      </c>
      <c r="C72" s="176"/>
      <c r="D72" s="76" t="s">
        <v>80</v>
      </c>
      <c r="E72" s="5">
        <v>80</v>
      </c>
      <c r="F72" s="44" t="s">
        <v>81</v>
      </c>
      <c r="G72" s="59" t="s">
        <v>82</v>
      </c>
      <c r="H72" s="5" t="s">
        <v>199</v>
      </c>
      <c r="I72" s="70"/>
      <c r="J72" s="70" t="s">
        <v>3</v>
      </c>
      <c r="K72" s="23" t="str">
        <f>IF(OR(J72={"Fully compliant (100%)"}),"2",IF(OR(J72={"Partially compliant (50 - 99%)"}),"1",IF(OR(J72={"Not compliant (0 - 49%)"}),"0")))</f>
        <v>2</v>
      </c>
      <c r="L72" s="4"/>
      <c r="M72" s="4"/>
      <c r="N72" s="4"/>
      <c r="O72" s="19"/>
    </row>
    <row r="73" spans="2:15" ht="37.049999999999997" customHeight="1" x14ac:dyDescent="0.3">
      <c r="B73" s="178">
        <v>29</v>
      </c>
      <c r="C73" s="176"/>
      <c r="D73" s="148" t="s">
        <v>83</v>
      </c>
      <c r="E73" s="144" t="s">
        <v>84</v>
      </c>
      <c r="F73" s="147"/>
      <c r="G73" s="147" t="s">
        <v>85</v>
      </c>
      <c r="H73" s="5" t="s">
        <v>200</v>
      </c>
      <c r="I73" s="70"/>
      <c r="J73" s="70" t="s">
        <v>3</v>
      </c>
      <c r="K73" s="23" t="str">
        <f>IF(OR(J73={"Fully compliant (100%)"}),"2",IF(OR(J73={"Partially compliant (50 - 99%)"}),"1",IF(OR(J73={"Not compliant (0 - 49%)"}),"0")))</f>
        <v>2</v>
      </c>
      <c r="L73" s="4"/>
      <c r="M73" s="4"/>
      <c r="N73" s="4"/>
      <c r="O73" s="19"/>
    </row>
    <row r="74" spans="2:15" x14ac:dyDescent="0.3">
      <c r="B74" s="179"/>
      <c r="C74" s="176"/>
      <c r="D74" s="149"/>
      <c r="E74" s="146"/>
      <c r="F74" s="143"/>
      <c r="G74" s="143"/>
      <c r="H74" s="5" t="s">
        <v>202</v>
      </c>
      <c r="I74" s="70"/>
      <c r="J74" s="70"/>
      <c r="K74" s="23"/>
      <c r="L74" s="4"/>
      <c r="M74" s="4"/>
      <c r="N74" s="4"/>
      <c r="O74" s="19"/>
    </row>
    <row r="75" spans="2:15" ht="60" x14ac:dyDescent="0.3">
      <c r="B75" s="179"/>
      <c r="C75" s="176"/>
      <c r="D75" s="149"/>
      <c r="E75" s="144">
        <v>74</v>
      </c>
      <c r="F75" s="147"/>
      <c r="G75" s="160" t="s">
        <v>86</v>
      </c>
      <c r="H75" s="5" t="s">
        <v>203</v>
      </c>
      <c r="I75" s="70"/>
      <c r="J75" s="70" t="s">
        <v>3</v>
      </c>
      <c r="K75" s="23" t="str">
        <f>IF(OR(J75={"Fully compliant (100%)"}),"2",IF(OR(J75={"Partially compliant (50 - 99%)"}),"1",IF(OR(J75={"Not compliant (0 - 49%)"}),"0")))</f>
        <v>2</v>
      </c>
      <c r="L75" s="4"/>
      <c r="M75" s="4"/>
      <c r="N75" s="4"/>
      <c r="O75" s="19"/>
    </row>
    <row r="76" spans="2:15" ht="30" x14ac:dyDescent="0.3">
      <c r="B76" s="179"/>
      <c r="C76" s="176"/>
      <c r="D76" s="149"/>
      <c r="E76" s="146"/>
      <c r="F76" s="143"/>
      <c r="G76" s="161"/>
      <c r="H76" s="5" t="s">
        <v>158</v>
      </c>
      <c r="I76" s="70"/>
      <c r="J76" s="70" t="s">
        <v>3</v>
      </c>
      <c r="K76" s="23" t="str">
        <f>IF(OR(J76={"Fully compliant (100%)"}),"2",IF(OR(J76={"Partially compliant (50 - 99%)"}),"1",IF(OR(J76={"Not compliant (0 - 49%)"}),"0")))</f>
        <v>2</v>
      </c>
      <c r="L76" s="4"/>
      <c r="M76" s="4"/>
      <c r="N76" s="4"/>
      <c r="O76" s="19"/>
    </row>
    <row r="77" spans="2:15" ht="43.05" customHeight="1" x14ac:dyDescent="0.3">
      <c r="B77" s="180"/>
      <c r="C77" s="176"/>
      <c r="D77" s="153"/>
      <c r="E77" s="5">
        <v>75</v>
      </c>
      <c r="F77" s="44"/>
      <c r="G77" s="59" t="s">
        <v>87</v>
      </c>
      <c r="H77" s="5" t="s">
        <v>201</v>
      </c>
      <c r="I77" s="70"/>
      <c r="J77" s="70" t="s">
        <v>3</v>
      </c>
      <c r="K77" s="23" t="str">
        <f>IF(OR(J77={"Fully compliant (100%)"}),"2",IF(OR(J77={"Partially compliant (50 - 99%)"}),"1",IF(OR(J77={"Not compliant (0 - 49%)"}),"0")))</f>
        <v>2</v>
      </c>
      <c r="L77" s="4"/>
      <c r="M77" s="4"/>
      <c r="N77" s="4"/>
      <c r="O77" s="19"/>
    </row>
    <row r="78" spans="2:15" ht="60" x14ac:dyDescent="0.3">
      <c r="B78" s="41">
        <v>30</v>
      </c>
      <c r="C78" s="176"/>
      <c r="D78" s="76" t="s">
        <v>88</v>
      </c>
      <c r="E78" s="69" t="s">
        <v>89</v>
      </c>
      <c r="F78" s="60"/>
      <c r="G78" s="63" t="s">
        <v>90</v>
      </c>
      <c r="H78" s="5" t="s">
        <v>91</v>
      </c>
      <c r="I78" s="70"/>
      <c r="J78" s="70" t="s">
        <v>3</v>
      </c>
      <c r="K78" s="23" t="str">
        <f>IF(OR(J78={"Fully compliant (100%)"}),"2",IF(OR(J78={"Partially compliant (50 - 99%)"}),"1",IF(OR(J78={"Not compliant (0 - 49%)"}),"0")))</f>
        <v>2</v>
      </c>
      <c r="L78" s="4"/>
      <c r="M78" s="4"/>
      <c r="N78" s="4"/>
      <c r="O78" s="19"/>
    </row>
    <row r="79" spans="2:15" x14ac:dyDescent="0.3">
      <c r="B79" s="41"/>
      <c r="C79" s="105"/>
      <c r="D79" s="41"/>
      <c r="E79" s="105"/>
      <c r="F79" s="41"/>
      <c r="G79" s="105"/>
      <c r="H79" s="41"/>
      <c r="I79" s="105"/>
      <c r="J79" s="105"/>
      <c r="K79" s="105"/>
      <c r="L79" s="105"/>
      <c r="M79" s="105"/>
      <c r="N79" s="105"/>
      <c r="O79" s="19"/>
    </row>
    <row r="80" spans="2:15" ht="45" x14ac:dyDescent="0.3">
      <c r="B80" s="150">
        <v>32</v>
      </c>
      <c r="C80" s="175" t="s">
        <v>92</v>
      </c>
      <c r="D80" s="148" t="s">
        <v>93</v>
      </c>
      <c r="E80" s="144" t="s">
        <v>94</v>
      </c>
      <c r="F80" s="147" t="s">
        <v>19</v>
      </c>
      <c r="G80" s="144" t="s">
        <v>95</v>
      </c>
      <c r="H80" s="5" t="s">
        <v>96</v>
      </c>
      <c r="I80" s="70"/>
      <c r="J80" s="70" t="s">
        <v>3</v>
      </c>
      <c r="K80" s="23" t="str">
        <f>IF(OR(J80={"Fully compliant (100%)"}),"2",IF(OR(J80={"Partially compliant (50 - 99%)"}),"1",IF(OR(J80={"Not compliant (0 - 49%)"}),"0")))</f>
        <v>2</v>
      </c>
      <c r="L80" s="4"/>
      <c r="M80" s="4"/>
      <c r="N80" s="4"/>
      <c r="O80" s="19"/>
    </row>
    <row r="81" spans="2:15" ht="41.1" customHeight="1" x14ac:dyDescent="0.3">
      <c r="B81" s="151"/>
      <c r="C81" s="176"/>
      <c r="D81" s="149"/>
      <c r="E81" s="145"/>
      <c r="F81" s="142"/>
      <c r="G81" s="145"/>
      <c r="H81" s="5" t="s">
        <v>205</v>
      </c>
      <c r="I81" s="70"/>
      <c r="J81" s="70" t="s">
        <v>3</v>
      </c>
      <c r="K81" s="23" t="str">
        <f>IF(OR(J81={"Fully compliant (100%)"}),"2",IF(OR(J81={"Partially compliant (50 - 99%)"}),"1",IF(OR(J81={"Not compliant (0 - 49%)"}),"0")))</f>
        <v>2</v>
      </c>
      <c r="L81" s="4"/>
      <c r="M81" s="4"/>
      <c r="N81" s="4"/>
      <c r="O81" s="19"/>
    </row>
    <row r="82" spans="2:15" ht="30" x14ac:dyDescent="0.3">
      <c r="B82" s="151"/>
      <c r="C82" s="176"/>
      <c r="D82" s="149"/>
      <c r="E82" s="145"/>
      <c r="F82" s="142"/>
      <c r="G82" s="145"/>
      <c r="H82" s="5" t="s">
        <v>207</v>
      </c>
      <c r="I82" s="70"/>
      <c r="J82" s="70"/>
      <c r="K82" s="23"/>
      <c r="L82" s="4"/>
      <c r="M82" s="4"/>
      <c r="N82" s="4"/>
      <c r="O82" s="19"/>
    </row>
    <row r="83" spans="2:15" ht="30" x14ac:dyDescent="0.3">
      <c r="B83" s="152"/>
      <c r="C83" s="176"/>
      <c r="D83" s="153"/>
      <c r="E83" s="146"/>
      <c r="F83" s="143"/>
      <c r="G83" s="146"/>
      <c r="H83" s="5" t="s">
        <v>206</v>
      </c>
      <c r="I83" s="70"/>
      <c r="J83" s="70"/>
      <c r="K83" s="23"/>
      <c r="L83" s="4"/>
      <c r="M83" s="4"/>
      <c r="N83" s="4"/>
      <c r="O83" s="19"/>
    </row>
    <row r="84" spans="2:15" x14ac:dyDescent="0.3">
      <c r="B84" s="150">
        <v>33</v>
      </c>
      <c r="C84" s="176"/>
      <c r="D84" s="56"/>
      <c r="E84" s="144" t="s">
        <v>98</v>
      </c>
      <c r="F84" s="61" t="s">
        <v>19</v>
      </c>
      <c r="G84" s="144" t="s">
        <v>99</v>
      </c>
      <c r="H84" s="5" t="s">
        <v>208</v>
      </c>
      <c r="I84" s="70"/>
      <c r="J84" s="70"/>
      <c r="K84" s="23"/>
      <c r="L84" s="4"/>
      <c r="M84" s="4"/>
      <c r="N84" s="4"/>
      <c r="O84" s="19"/>
    </row>
    <row r="85" spans="2:15" ht="30" x14ac:dyDescent="0.3">
      <c r="B85" s="151"/>
      <c r="C85" s="176"/>
      <c r="D85" s="57" t="s">
        <v>97</v>
      </c>
      <c r="E85" s="145"/>
      <c r="F85" s="61"/>
      <c r="G85" s="145"/>
      <c r="H85" s="5" t="s">
        <v>209</v>
      </c>
      <c r="I85" s="70"/>
      <c r="J85" s="70"/>
      <c r="K85" s="23"/>
      <c r="L85" s="4"/>
      <c r="M85" s="4"/>
      <c r="N85" s="4"/>
      <c r="O85" s="19"/>
    </row>
    <row r="86" spans="2:15" x14ac:dyDescent="0.3">
      <c r="B86" s="152"/>
      <c r="C86" s="176"/>
      <c r="D86" s="57"/>
      <c r="E86" s="145"/>
      <c r="F86" s="61"/>
      <c r="G86" s="145"/>
      <c r="H86" s="5" t="s">
        <v>210</v>
      </c>
      <c r="I86" s="70"/>
      <c r="J86" s="70"/>
      <c r="K86" s="23"/>
      <c r="L86" s="4"/>
      <c r="M86" s="4"/>
      <c r="N86" s="4"/>
      <c r="O86" s="19"/>
    </row>
    <row r="87" spans="2:15" ht="45" x14ac:dyDescent="0.3">
      <c r="B87" s="104"/>
      <c r="C87" s="176"/>
      <c r="D87" s="58"/>
      <c r="E87" s="146"/>
      <c r="F87" s="62"/>
      <c r="G87" s="146"/>
      <c r="H87" s="5" t="s">
        <v>211</v>
      </c>
      <c r="I87" s="70"/>
      <c r="J87" s="70"/>
      <c r="K87" s="23"/>
      <c r="L87" s="4"/>
      <c r="M87" s="4"/>
      <c r="N87" s="4"/>
      <c r="O87" s="19"/>
    </row>
    <row r="88" spans="2:15" ht="30" x14ac:dyDescent="0.3">
      <c r="B88" s="150">
        <v>34</v>
      </c>
      <c r="C88" s="176"/>
      <c r="D88" s="149" t="s">
        <v>213</v>
      </c>
      <c r="E88" s="145" t="s">
        <v>243</v>
      </c>
      <c r="F88" s="142"/>
      <c r="G88" s="172" t="s">
        <v>244</v>
      </c>
      <c r="H88" s="5" t="s">
        <v>212</v>
      </c>
      <c r="I88" s="70"/>
      <c r="J88" s="70" t="s">
        <v>3</v>
      </c>
      <c r="K88" s="23" t="str">
        <f>IF(OR(J88={"Fully compliant (100%)"}),"2",IF(OR(J88={"Partially compliant (50 - 99%)"}),"1",IF(OR(J88={"Not compliant (0 - 49%)"}),"0")))</f>
        <v>2</v>
      </c>
      <c r="L88" s="4"/>
      <c r="M88" s="4"/>
      <c r="N88" s="4"/>
      <c r="O88" s="19"/>
    </row>
    <row r="89" spans="2:15" ht="30" x14ac:dyDescent="0.3">
      <c r="B89" s="151"/>
      <c r="C89" s="176"/>
      <c r="D89" s="149"/>
      <c r="E89" s="145"/>
      <c r="F89" s="142"/>
      <c r="G89" s="172"/>
      <c r="H89" s="5" t="s">
        <v>214</v>
      </c>
      <c r="I89" s="70"/>
      <c r="J89" s="70" t="s">
        <v>3</v>
      </c>
      <c r="K89" s="23" t="str">
        <f>IF(OR(J89={"Fully compliant (100%)"}),"2",IF(OR(J89={"Partially compliant (50 - 99%)"}),"1",IF(OR(J89={"Not compliant (0 - 49%)"}),"0")))</f>
        <v>2</v>
      </c>
      <c r="L89" s="4"/>
      <c r="M89" s="4"/>
      <c r="N89" s="4"/>
      <c r="O89" s="19"/>
    </row>
    <row r="90" spans="2:15" ht="45" x14ac:dyDescent="0.3">
      <c r="B90" s="151"/>
      <c r="C90" s="176"/>
      <c r="D90" s="149"/>
      <c r="E90" s="145"/>
      <c r="F90" s="142"/>
      <c r="G90" s="172"/>
      <c r="H90" s="5" t="s">
        <v>215</v>
      </c>
      <c r="I90" s="70"/>
      <c r="J90" s="70" t="s">
        <v>3</v>
      </c>
      <c r="K90" s="23" t="str">
        <f>IF(OR(J90={"Fully compliant (100%)"}),"2",IF(OR(J90={"Partially compliant (50 - 99%)"}),"1",IF(OR(J90={"Not compliant (0 - 49%)"}),"0")))</f>
        <v>2</v>
      </c>
      <c r="L90" s="4"/>
      <c r="M90" s="4"/>
      <c r="N90" s="4"/>
      <c r="O90" s="19"/>
    </row>
    <row r="91" spans="2:15" ht="30" x14ac:dyDescent="0.3">
      <c r="B91" s="151"/>
      <c r="C91" s="176"/>
      <c r="D91" s="149"/>
      <c r="E91" s="145"/>
      <c r="F91" s="142"/>
      <c r="G91" s="172"/>
      <c r="H91" s="5" t="s">
        <v>216</v>
      </c>
      <c r="I91" s="70"/>
      <c r="J91" s="70" t="s">
        <v>3</v>
      </c>
      <c r="K91" s="23" t="str">
        <f>IF(OR(J91={"Fully compliant (100%)"}),"2",IF(OR(J91={"Partially compliant (50 - 99%)"}),"1",IF(OR(J91={"Not compliant (0 - 49%)"}),"0")))</f>
        <v>2</v>
      </c>
      <c r="L91" s="4"/>
      <c r="M91" s="4"/>
      <c r="N91" s="4"/>
      <c r="O91" s="19"/>
    </row>
    <row r="92" spans="2:15" ht="45" x14ac:dyDescent="0.3">
      <c r="B92" s="152"/>
      <c r="C92" s="176"/>
      <c r="D92" s="153"/>
      <c r="E92" s="146"/>
      <c r="F92" s="143"/>
      <c r="G92" s="173"/>
      <c r="H92" s="5" t="s">
        <v>217</v>
      </c>
      <c r="I92" s="70"/>
      <c r="J92" s="70" t="s">
        <v>3</v>
      </c>
      <c r="K92" s="23" t="str">
        <f>IF(OR(J92={"Fully compliant (100%)"}),"2",IF(OR(J92={"Partially compliant (50 - 99%)"}),"1",IF(OR(J92={"Not compliant (0 - 49%)"}),"0")))</f>
        <v>2</v>
      </c>
      <c r="L92" s="4"/>
      <c r="M92" s="4"/>
      <c r="N92" s="4"/>
      <c r="O92" s="19"/>
    </row>
    <row r="93" spans="2:15" x14ac:dyDescent="0.3">
      <c r="B93" s="41"/>
      <c r="C93" s="105"/>
      <c r="D93" s="105"/>
      <c r="E93" s="105"/>
      <c r="F93" s="105"/>
      <c r="G93" s="105"/>
      <c r="H93" s="105"/>
      <c r="I93" s="105"/>
      <c r="J93" s="105"/>
      <c r="K93" s="105"/>
      <c r="L93" s="105"/>
      <c r="M93" s="105"/>
      <c r="N93" s="105"/>
      <c r="O93" s="19"/>
    </row>
    <row r="94" spans="2:15" ht="60" x14ac:dyDescent="0.3">
      <c r="B94" s="150">
        <v>36</v>
      </c>
      <c r="C94" s="175" t="s">
        <v>100</v>
      </c>
      <c r="D94" s="148" t="s">
        <v>101</v>
      </c>
      <c r="E94" s="184" t="s">
        <v>102</v>
      </c>
      <c r="F94" s="187"/>
      <c r="G94" s="167" t="s">
        <v>103</v>
      </c>
      <c r="H94" s="4" t="s">
        <v>232</v>
      </c>
      <c r="I94" s="66"/>
      <c r="J94" s="70" t="s">
        <v>3</v>
      </c>
      <c r="K94" s="23" t="str">
        <f>IF(OR(J94={"Fully compliant (100%)"}),"2",IF(OR(J94={"Partially compliant (50 - 99%)"}),"1",IF(OR(J94={"Not compliant (0 - 49%)"}),"0")))</f>
        <v>2</v>
      </c>
      <c r="L94" s="4"/>
      <c r="M94" s="4"/>
      <c r="N94" s="4"/>
      <c r="O94" s="19"/>
    </row>
    <row r="95" spans="2:15" ht="30" hidden="1" x14ac:dyDescent="0.3">
      <c r="B95" s="151"/>
      <c r="C95" s="176"/>
      <c r="D95" s="149"/>
      <c r="E95" s="185"/>
      <c r="F95" s="188"/>
      <c r="G95" s="168"/>
      <c r="H95" s="4" t="s">
        <v>104</v>
      </c>
      <c r="I95" s="66"/>
      <c r="J95" s="70" t="s">
        <v>3</v>
      </c>
      <c r="K95" s="23" t="str">
        <f>IF(OR(J95={"Fully compliant (100%)"}),"2",IF(OR(J95={"Partially compliant (50 - 99%)"}),"1",IF(OR(J95={"Not compliant (0 - 49%)"}),"0")))</f>
        <v>2</v>
      </c>
      <c r="L95" s="4"/>
      <c r="M95" s="4"/>
      <c r="N95" s="4"/>
      <c r="O95" s="19"/>
    </row>
    <row r="96" spans="2:15" ht="30" hidden="1" x14ac:dyDescent="0.3">
      <c r="B96" s="151"/>
      <c r="C96" s="176"/>
      <c r="D96" s="149"/>
      <c r="E96" s="185"/>
      <c r="F96" s="188"/>
      <c r="G96" s="168"/>
      <c r="H96" s="4" t="s">
        <v>157</v>
      </c>
      <c r="I96" s="66"/>
      <c r="J96" s="70" t="s">
        <v>3</v>
      </c>
      <c r="K96" s="23" t="str">
        <f>IF(OR(J96={"Fully compliant (100%)"}),"2",IF(OR(J96={"Partially compliant (50 - 99%)"}),"1",IF(OR(J96={"Not compliant (0 - 49%)"}),"0")))</f>
        <v>2</v>
      </c>
      <c r="L96" s="4"/>
      <c r="M96" s="4"/>
      <c r="N96" s="4"/>
      <c r="O96" s="19"/>
    </row>
    <row r="97" spans="2:15" ht="30" hidden="1" x14ac:dyDescent="0.3">
      <c r="B97" s="152"/>
      <c r="C97" s="176"/>
      <c r="D97" s="153"/>
      <c r="E97" s="185"/>
      <c r="F97" s="188"/>
      <c r="G97" s="168"/>
      <c r="H97" s="4" t="s">
        <v>227</v>
      </c>
      <c r="I97" s="66"/>
      <c r="J97" s="70" t="s">
        <v>3</v>
      </c>
      <c r="K97" s="23" t="str">
        <f>IF(OR(J97={"Fully compliant (100%)"}),"2",IF(OR(J97={"Partially compliant (50 - 99%)"}),"1",IF(OR(J97={"Not compliant (0 - 49%)"}),"0")))</f>
        <v>2</v>
      </c>
      <c r="L97" s="4"/>
      <c r="M97" s="4"/>
      <c r="N97" s="4"/>
      <c r="O97" s="19"/>
    </row>
    <row r="98" spans="2:15" ht="30" x14ac:dyDescent="0.3">
      <c r="B98" s="151"/>
      <c r="C98" s="176"/>
      <c r="D98" s="149"/>
      <c r="E98" s="185"/>
      <c r="F98" s="188"/>
      <c r="G98" s="168"/>
      <c r="H98" s="120" t="s">
        <v>105</v>
      </c>
      <c r="I98" s="66"/>
      <c r="J98" s="70" t="s">
        <v>3</v>
      </c>
      <c r="K98" s="23" t="str">
        <f>IF(OR(J98={"Fully compliant (100%)"}),"2",IF(OR(J98={"Partially compliant (50 - 99%)"}),"1",IF(OR(J98={"Not compliant (0 - 49%)"}),"0")))</f>
        <v>2</v>
      </c>
      <c r="L98" s="4"/>
      <c r="M98" s="4"/>
      <c r="N98" s="4"/>
      <c r="O98" s="19"/>
    </row>
    <row r="99" spans="2:15" ht="30" x14ac:dyDescent="0.3">
      <c r="B99" s="152"/>
      <c r="C99" s="176"/>
      <c r="D99" s="153"/>
      <c r="E99" s="186"/>
      <c r="F99" s="189"/>
      <c r="G99" s="169"/>
      <c r="H99" s="120" t="s">
        <v>106</v>
      </c>
      <c r="I99" s="66"/>
      <c r="J99" s="70" t="s">
        <v>3</v>
      </c>
      <c r="K99" s="23" t="str">
        <f>IF(OR(J99={"Fully compliant (100%)"}),"2",IF(OR(J99={"Partially compliant (50 - 99%)"}),"1",IF(OR(J99={"Not compliant (0 - 49%)"}),"0")))</f>
        <v>2</v>
      </c>
      <c r="L99" s="4"/>
      <c r="M99" s="4"/>
      <c r="N99" s="4"/>
      <c r="O99" s="19"/>
    </row>
    <row r="100" spans="2:15" ht="45" x14ac:dyDescent="0.3">
      <c r="B100" s="41">
        <v>38</v>
      </c>
      <c r="C100" s="176"/>
      <c r="D100" s="76" t="s">
        <v>107</v>
      </c>
      <c r="E100" s="6" t="s">
        <v>108</v>
      </c>
      <c r="F100" s="30"/>
      <c r="G100" s="4" t="s">
        <v>109</v>
      </c>
      <c r="H100" s="120" t="s">
        <v>110</v>
      </c>
      <c r="I100" s="66"/>
      <c r="J100" s="70" t="s">
        <v>3</v>
      </c>
      <c r="K100" s="23" t="str">
        <f>IF(OR(J100={"Fully compliant (100%)"}),"2",IF(OR(J100={"Partially compliant (50 - 99%)"}),"1",IF(OR(J100={"Not compliant (0 - 49%)"}),"0")))</f>
        <v>2</v>
      </c>
      <c r="L100" s="4"/>
      <c r="M100" s="4"/>
      <c r="N100" s="4"/>
      <c r="O100" s="19"/>
    </row>
    <row r="101" spans="2:15" ht="210" hidden="1" x14ac:dyDescent="0.3">
      <c r="B101" s="41">
        <v>39</v>
      </c>
      <c r="C101" s="176"/>
      <c r="D101" s="76" t="s">
        <v>111</v>
      </c>
      <c r="E101" s="6" t="s">
        <v>112</v>
      </c>
      <c r="F101" s="30"/>
      <c r="G101" s="4" t="s">
        <v>113</v>
      </c>
      <c r="H101" s="120" t="s">
        <v>228</v>
      </c>
      <c r="I101" s="66"/>
      <c r="J101" s="70" t="s">
        <v>3</v>
      </c>
      <c r="K101" s="23" t="str">
        <f>IF(OR(J101={"Fully compliant (100%)"}),"2",IF(OR(J101={"Partially compliant (50 - 99%)"}),"1",IF(OR(J101={"Not compliant (0 - 49%)"}),"0")))</f>
        <v>2</v>
      </c>
      <c r="L101" s="4"/>
      <c r="M101" s="4"/>
      <c r="N101" s="4"/>
      <c r="O101" s="19"/>
    </row>
    <row r="102" spans="2:15" ht="85.05" customHeight="1" x14ac:dyDescent="0.3">
      <c r="B102" s="41">
        <v>40</v>
      </c>
      <c r="C102" s="176"/>
      <c r="D102" s="76" t="s">
        <v>114</v>
      </c>
      <c r="E102" s="6"/>
      <c r="F102" s="30" t="s">
        <v>16</v>
      </c>
      <c r="G102" s="4" t="s">
        <v>115</v>
      </c>
      <c r="H102" s="120" t="s">
        <v>233</v>
      </c>
      <c r="I102" s="66"/>
      <c r="J102" s="70" t="s">
        <v>3</v>
      </c>
      <c r="K102" s="23" t="str">
        <f>IF(OR(J102={"Fully compliant (100%)"}),"2",IF(OR(J102={"Partially compliant (50 - 99%)"}),"1",IF(OR(J102={"Not compliant (0 - 49%)"}),"0")))</f>
        <v>2</v>
      </c>
      <c r="L102" s="36"/>
      <c r="M102" s="36"/>
      <c r="N102" s="4"/>
      <c r="O102" s="19"/>
    </row>
    <row r="103" spans="2:15" ht="30" hidden="1" x14ac:dyDescent="0.3">
      <c r="B103" s="41">
        <v>41</v>
      </c>
      <c r="C103" s="176"/>
      <c r="D103" s="76" t="s">
        <v>116</v>
      </c>
      <c r="E103" s="84" t="s">
        <v>117</v>
      </c>
      <c r="F103" s="46" t="s">
        <v>19</v>
      </c>
      <c r="G103" s="170"/>
      <c r="H103" s="32"/>
      <c r="I103" s="71"/>
      <c r="J103" s="70" t="s">
        <v>3</v>
      </c>
      <c r="K103" s="23" t="str">
        <f>IF(OR(J103={"Fully compliant (100%)"}),"2",IF(OR(J103={"Partially compliant (50 - 99%)"}),"1",IF(OR(J103={"Not compliant (0 - 49%)"}),"0")))</f>
        <v>2</v>
      </c>
      <c r="L103" s="4"/>
      <c r="M103" s="4"/>
      <c r="N103" s="4"/>
      <c r="O103" s="19"/>
    </row>
    <row r="104" spans="2:15" ht="30" hidden="1" x14ac:dyDescent="0.3">
      <c r="B104" s="41">
        <v>42</v>
      </c>
      <c r="C104" s="183"/>
      <c r="D104" s="76" t="s">
        <v>118</v>
      </c>
      <c r="E104" s="84" t="s">
        <v>117</v>
      </c>
      <c r="F104" s="47" t="s">
        <v>19</v>
      </c>
      <c r="G104" s="171"/>
      <c r="H104" s="59"/>
      <c r="I104" s="66"/>
      <c r="J104" s="70" t="s">
        <v>3</v>
      </c>
      <c r="K104" s="23" t="str">
        <f>IF(OR(J104={"Fully compliant (100%)"}),"2",IF(OR(J104={"Partially compliant (50 - 99%)"}),"1",IF(OR(J104={"Not compliant (0 - 49%)"}),"0")))</f>
        <v>2</v>
      </c>
      <c r="L104" s="4"/>
      <c r="M104" s="4"/>
      <c r="N104" s="4"/>
      <c r="O104" s="19"/>
    </row>
    <row r="105" spans="2:15" x14ac:dyDescent="0.3">
      <c r="B105" s="41"/>
      <c r="C105" s="24"/>
      <c r="D105" s="24"/>
      <c r="E105" s="85"/>
      <c r="F105" s="24"/>
      <c r="G105" s="25" t="s">
        <v>119</v>
      </c>
      <c r="H105" s="24"/>
      <c r="I105" s="24"/>
      <c r="J105" s="24"/>
      <c r="K105" s="24"/>
      <c r="L105" s="24"/>
      <c r="M105" s="24"/>
      <c r="N105" s="24"/>
      <c r="O105" s="19"/>
    </row>
    <row r="106" spans="2:15" ht="105" x14ac:dyDescent="0.3">
      <c r="B106" s="41">
        <v>43</v>
      </c>
      <c r="C106" s="108"/>
      <c r="D106" s="76" t="s">
        <v>120</v>
      </c>
      <c r="E106" s="86"/>
      <c r="F106" s="48"/>
      <c r="G106" s="38" t="s">
        <v>121</v>
      </c>
      <c r="H106" s="38"/>
      <c r="I106" s="94"/>
      <c r="J106" s="70" t="s">
        <v>3</v>
      </c>
      <c r="K106" s="23" t="str">
        <f>IF(OR(J106={"Fully compliant (100%)"}),"2",IF(OR(J106={"Partially compliant (50 - 99%)"}),"1",IF(OR(J106={"Not compliant (0 - 49%)"}),"0")))</f>
        <v>2</v>
      </c>
      <c r="L106" s="4"/>
      <c r="M106" s="4"/>
      <c r="N106" s="4"/>
      <c r="O106" s="19"/>
    </row>
    <row r="107" spans="2:15" x14ac:dyDescent="0.3">
      <c r="B107" s="41"/>
      <c r="C107" s="24"/>
      <c r="D107" s="24"/>
      <c r="E107" s="85"/>
      <c r="F107" s="24"/>
      <c r="G107" s="25" t="s">
        <v>122</v>
      </c>
      <c r="H107" s="24"/>
      <c r="I107" s="24"/>
      <c r="J107" s="24"/>
      <c r="K107" s="24"/>
      <c r="L107" s="24"/>
      <c r="M107" s="24"/>
      <c r="N107" s="24"/>
      <c r="O107" s="19"/>
    </row>
    <row r="108" spans="2:15" ht="409.6" x14ac:dyDescent="0.3">
      <c r="B108" s="150">
        <v>44</v>
      </c>
      <c r="C108" s="164"/>
      <c r="D108" s="76" t="s">
        <v>123</v>
      </c>
      <c r="E108" s="87"/>
      <c r="F108" s="49"/>
      <c r="G108" s="34" t="s">
        <v>124</v>
      </c>
      <c r="H108" s="34"/>
      <c r="I108" s="91"/>
      <c r="J108" s="70" t="s">
        <v>3</v>
      </c>
      <c r="K108" s="23" t="str">
        <f>IF(OR(J108={"Fully compliant (100%)"}),"2",IF(OR(J108={"Partially compliant (50 - 99%)"}),"1",IF(OR(J108={"Not compliant (0 - 49%)"}),"0")))</f>
        <v>2</v>
      </c>
      <c r="L108" s="4"/>
      <c r="M108" s="36"/>
      <c r="N108" s="4"/>
      <c r="O108" s="19"/>
    </row>
    <row r="109" spans="2:15" ht="240" x14ac:dyDescent="0.3">
      <c r="B109" s="151"/>
      <c r="C109" s="165"/>
      <c r="D109" s="76" t="s">
        <v>125</v>
      </c>
      <c r="E109" s="86"/>
      <c r="F109" s="48"/>
      <c r="G109" s="38" t="s">
        <v>152</v>
      </c>
      <c r="H109" s="38"/>
      <c r="I109" s="94"/>
      <c r="J109" s="70" t="s">
        <v>3</v>
      </c>
      <c r="K109" s="23" t="str">
        <f>IF(OR(J109={"Fully compliant (100%)"}),"2",IF(OR(J109={"Partially compliant (50 - 99%)"}),"1",IF(OR(J109={"Not compliant (0 - 49%)"}),"0")))</f>
        <v>2</v>
      </c>
      <c r="L109" s="4"/>
      <c r="M109" s="4"/>
      <c r="N109" s="4"/>
      <c r="O109" s="19"/>
    </row>
    <row r="110" spans="2:15" ht="240" x14ac:dyDescent="0.3">
      <c r="B110" s="151"/>
      <c r="C110" s="165"/>
      <c r="D110" s="76" t="s">
        <v>126</v>
      </c>
      <c r="E110" s="88"/>
      <c r="F110" s="50"/>
      <c r="G110" s="39" t="s">
        <v>153</v>
      </c>
      <c r="H110" s="39"/>
      <c r="I110" s="95"/>
      <c r="J110" s="70" t="s">
        <v>3</v>
      </c>
      <c r="K110" s="23" t="str">
        <f>IF(OR(J110={"Fully compliant (100%)"}),"2",IF(OR(J110={"Partially compliant (50 - 99%)"}),"1",IF(OR(J110={"Not compliant (0 - 49%)"}),"0")))</f>
        <v>2</v>
      </c>
      <c r="L110" s="4"/>
      <c r="M110" s="4"/>
      <c r="N110" s="4"/>
      <c r="O110" s="19"/>
    </row>
    <row r="111" spans="2:15" ht="135" x14ac:dyDescent="0.3">
      <c r="B111" s="151"/>
      <c r="C111" s="165"/>
      <c r="D111" s="76" t="s">
        <v>127</v>
      </c>
      <c r="E111" s="89"/>
      <c r="F111" s="51"/>
      <c r="G111" s="40" t="s">
        <v>154</v>
      </c>
      <c r="H111" s="40"/>
      <c r="I111" s="96"/>
      <c r="J111" s="70" t="s">
        <v>3</v>
      </c>
      <c r="K111" s="23" t="str">
        <f>IF(OR(J111={"Fully compliant (100%)"}),"2",IF(OR(J111={"Partially compliant (50 - 99%)"}),"1",IF(OR(J111={"Not compliant (0 - 49%)"}),"0")))</f>
        <v>2</v>
      </c>
      <c r="L111" s="4"/>
      <c r="M111" s="4"/>
      <c r="N111" s="4"/>
      <c r="O111" s="19"/>
    </row>
    <row r="112" spans="2:15" ht="180" x14ac:dyDescent="0.3">
      <c r="B112" s="151"/>
      <c r="C112" s="165"/>
      <c r="D112" s="76" t="s">
        <v>128</v>
      </c>
      <c r="E112" s="84"/>
      <c r="F112" s="46"/>
      <c r="G112" s="33" t="s">
        <v>129</v>
      </c>
      <c r="H112" s="33"/>
      <c r="I112" s="71"/>
      <c r="J112" s="70" t="s">
        <v>3</v>
      </c>
      <c r="K112" s="23" t="str">
        <f>IF(OR(J112={"Fully compliant (100%)"}),"2",IF(OR(J112={"Partially compliant (50 - 99%)"}),"1",IF(OR(J112={"Not compliant (0 - 49%)"}),"0")))</f>
        <v>2</v>
      </c>
      <c r="L112" s="4"/>
      <c r="M112" s="4"/>
      <c r="N112" s="4"/>
      <c r="O112" s="19"/>
    </row>
    <row r="113" spans="2:15" ht="105" x14ac:dyDescent="0.3">
      <c r="B113" s="151"/>
      <c r="C113" s="165"/>
      <c r="D113" s="76" t="s">
        <v>130</v>
      </c>
      <c r="E113" s="86"/>
      <c r="F113" s="48"/>
      <c r="G113" s="38" t="s">
        <v>131</v>
      </c>
      <c r="H113" s="38"/>
      <c r="I113" s="94"/>
      <c r="J113" s="70" t="s">
        <v>3</v>
      </c>
      <c r="K113" s="23" t="str">
        <f>IF(OR(J113={"Fully compliant (100%)"}),"2",IF(OR(J113={"Partially compliant (50 - 99%)"}),"1",IF(OR(J113={"Not compliant (0 - 49%)"}),"0")))</f>
        <v>2</v>
      </c>
      <c r="L113" s="4"/>
      <c r="M113" s="4"/>
      <c r="N113" s="4"/>
      <c r="O113" s="19"/>
    </row>
    <row r="114" spans="2:15" ht="45" x14ac:dyDescent="0.3">
      <c r="B114" s="151"/>
      <c r="C114" s="165"/>
      <c r="D114" s="76" t="s">
        <v>132</v>
      </c>
      <c r="E114" s="86"/>
      <c r="F114" s="48"/>
      <c r="G114" s="38" t="s">
        <v>133</v>
      </c>
      <c r="H114" s="38"/>
      <c r="I114" s="94"/>
      <c r="J114" s="70" t="s">
        <v>3</v>
      </c>
      <c r="K114" s="23" t="str">
        <f>IF(OR(J114={"Fully compliant (100%)"}),"2",IF(OR(J114={"Partially compliant (50 - 99%)"}),"1",IF(OR(J114={"Not compliant (0 - 49%)"}),"0")))</f>
        <v>2</v>
      </c>
      <c r="L114" s="4"/>
      <c r="M114" s="4"/>
      <c r="N114" s="4"/>
      <c r="O114" s="19"/>
    </row>
    <row r="115" spans="2:15" ht="45" x14ac:dyDescent="0.3">
      <c r="B115" s="152"/>
      <c r="C115" s="166"/>
      <c r="D115" s="76" t="s">
        <v>134</v>
      </c>
      <c r="E115" s="86"/>
      <c r="F115" s="48"/>
      <c r="G115" s="38" t="s">
        <v>135</v>
      </c>
      <c r="H115" s="38"/>
      <c r="I115" s="94"/>
      <c r="J115" s="70" t="s">
        <v>3</v>
      </c>
      <c r="K115" s="23" t="str">
        <f>IF(OR(J115={"Fully compliant (100%)"}),"2",IF(OR(J115={"Partially compliant (50 - 99%)"}),"1",IF(OR(J115={"Not compliant (0 - 49%)"}),"0")))</f>
        <v>2</v>
      </c>
      <c r="L115" s="4"/>
      <c r="M115" s="4"/>
      <c r="N115" s="4"/>
      <c r="O115" s="19"/>
    </row>
    <row r="116" spans="2:15" ht="30" x14ac:dyDescent="0.3">
      <c r="B116" s="41"/>
      <c r="C116" s="24"/>
      <c r="D116" s="24"/>
      <c r="E116" s="85"/>
      <c r="F116" s="24"/>
      <c r="G116" s="25" t="s">
        <v>136</v>
      </c>
      <c r="H116" s="24"/>
      <c r="I116" s="24"/>
      <c r="J116" s="24"/>
      <c r="K116" s="24"/>
      <c r="L116" s="24"/>
      <c r="M116" s="24"/>
      <c r="N116" s="24"/>
      <c r="O116" s="19"/>
    </row>
    <row r="117" spans="2:15" ht="255" x14ac:dyDescent="0.3">
      <c r="B117" s="41">
        <v>45</v>
      </c>
      <c r="C117" s="108"/>
      <c r="D117" s="76" t="s">
        <v>137</v>
      </c>
      <c r="E117" s="6"/>
      <c r="F117" s="30"/>
      <c r="G117" s="4" t="s">
        <v>138</v>
      </c>
      <c r="H117" s="4"/>
      <c r="I117" s="66"/>
      <c r="J117" s="70" t="s">
        <v>3</v>
      </c>
      <c r="K117" s="23" t="str">
        <f>IF(OR(J117={"Fully compliant (100%)"}),"2",IF(OR(J117={"Partially compliant (50 - 99%)"}),"1",IF(OR(J117={"Not compliant (0 - 49%)"}),"0")))</f>
        <v>2</v>
      </c>
      <c r="L117" s="4"/>
      <c r="M117" s="4"/>
      <c r="N117" s="4"/>
      <c r="O117" s="19"/>
    </row>
    <row r="118" spans="2:15" ht="45" x14ac:dyDescent="0.3">
      <c r="B118" s="41"/>
      <c r="C118" s="26"/>
      <c r="D118" s="26"/>
      <c r="E118" s="90"/>
      <c r="F118" s="26"/>
      <c r="G118" s="27" t="s">
        <v>139</v>
      </c>
      <c r="H118" s="26"/>
      <c r="I118" s="26"/>
      <c r="J118" s="26"/>
      <c r="K118" s="26"/>
      <c r="L118" s="26"/>
      <c r="M118" s="26"/>
      <c r="N118" s="26"/>
      <c r="O118" s="19"/>
    </row>
    <row r="119" spans="2:15" ht="240" x14ac:dyDescent="0.3">
      <c r="B119" s="178">
        <v>46</v>
      </c>
      <c r="C119" s="181"/>
      <c r="D119" s="76" t="s">
        <v>140</v>
      </c>
      <c r="E119" s="5"/>
      <c r="F119" s="44"/>
      <c r="G119" s="59" t="s">
        <v>141</v>
      </c>
      <c r="H119" s="5"/>
      <c r="I119" s="70"/>
      <c r="J119" s="70" t="s">
        <v>3</v>
      </c>
      <c r="K119" s="23" t="str">
        <f>IF(OR(J119={"Fully compliant (100%)"}),"2",IF(OR(J119={"Partially compliant (50 - 99%)"}),"1",IF(OR(J119={"Not compliant (0 - 49%)"}),"0")))</f>
        <v>2</v>
      </c>
      <c r="L119" s="4"/>
      <c r="M119" s="4"/>
      <c r="N119" s="4"/>
      <c r="O119" s="19"/>
    </row>
    <row r="120" spans="2:15" ht="60" x14ac:dyDescent="0.3">
      <c r="B120" s="179"/>
      <c r="C120" s="181"/>
      <c r="D120" s="76" t="s">
        <v>142</v>
      </c>
      <c r="E120" s="5"/>
      <c r="F120" s="44"/>
      <c r="G120" s="59" t="s">
        <v>143</v>
      </c>
      <c r="H120" s="5"/>
      <c r="I120" s="70"/>
      <c r="J120" s="70" t="s">
        <v>3</v>
      </c>
      <c r="K120" s="23" t="str">
        <f>IF(OR(J120={"Fully compliant (100%)"}),"2",IF(OR(J120={"Partially compliant (50 - 99%)"}),"1",IF(OR(J120={"Not compliant (0 - 49%)"}),"0")))</f>
        <v>2</v>
      </c>
      <c r="L120" s="4"/>
      <c r="M120" s="4"/>
      <c r="N120" s="4"/>
      <c r="O120" s="19"/>
    </row>
    <row r="121" spans="2:15" ht="45" x14ac:dyDescent="0.3">
      <c r="B121" s="179"/>
      <c r="C121" s="181"/>
      <c r="D121" s="76" t="s">
        <v>144</v>
      </c>
      <c r="E121" s="5"/>
      <c r="F121" s="44"/>
      <c r="G121" s="59" t="s">
        <v>145</v>
      </c>
      <c r="H121" s="5"/>
      <c r="I121" s="70"/>
      <c r="J121" s="70" t="s">
        <v>3</v>
      </c>
      <c r="K121" s="23" t="str">
        <f>IF(OR(J121={"Fully compliant (100%)"}),"2",IF(OR(J121={"Partially compliant (50 - 99%)"}),"1",IF(OR(J121={"Not compliant (0 - 49%)"}),"0")))</f>
        <v>2</v>
      </c>
      <c r="L121" s="4"/>
      <c r="M121" s="4"/>
      <c r="N121" s="4"/>
      <c r="O121" s="19"/>
    </row>
    <row r="122" spans="2:15" ht="30" x14ac:dyDescent="0.3">
      <c r="B122" s="179"/>
      <c r="C122" s="181"/>
      <c r="D122" s="76" t="s">
        <v>146</v>
      </c>
      <c r="E122" s="5"/>
      <c r="F122" s="44"/>
      <c r="G122" s="59" t="s">
        <v>147</v>
      </c>
      <c r="H122" s="5"/>
      <c r="I122" s="70"/>
      <c r="J122" s="70" t="s">
        <v>3</v>
      </c>
      <c r="K122" s="23" t="str">
        <f>IF(OR(J122={"Fully compliant (100%)"}),"2",IF(OR(J122={"Partially compliant (50 - 99%)"}),"1",IF(OR(J122={"Not compliant (0 - 49%)"}),"0")))</f>
        <v>2</v>
      </c>
      <c r="L122" s="4"/>
      <c r="M122" s="4"/>
      <c r="N122" s="4"/>
      <c r="O122" s="19"/>
    </row>
    <row r="123" spans="2:15" ht="270" x14ac:dyDescent="0.3">
      <c r="B123" s="180"/>
      <c r="C123" s="181"/>
      <c r="D123" s="76" t="s">
        <v>148</v>
      </c>
      <c r="E123" s="5"/>
      <c r="F123" s="44"/>
      <c r="G123" s="59" t="s">
        <v>149</v>
      </c>
      <c r="H123" s="5"/>
      <c r="I123" s="70"/>
      <c r="J123" s="70" t="s">
        <v>3</v>
      </c>
      <c r="K123" s="23" t="str">
        <f>IF(OR(J123={"Fully compliant (100%)"}),"2",IF(OR(J123={"Partially compliant (50 - 99%)"}),"1",IF(OR(J123={"Not compliant (0 - 49%)"}),"0")))</f>
        <v>2</v>
      </c>
      <c r="L123" s="4"/>
      <c r="M123" s="4"/>
      <c r="N123" s="4"/>
      <c r="O123" s="19"/>
    </row>
    <row r="124" spans="2:15" x14ac:dyDescent="0.3">
      <c r="C124" s="181"/>
      <c r="O124" s="19"/>
    </row>
  </sheetData>
  <mergeCells count="104">
    <mergeCell ref="C24:C45"/>
    <mergeCell ref="B3:H3"/>
    <mergeCell ref="B7:N7"/>
    <mergeCell ref="G8:G16"/>
    <mergeCell ref="G17:G19"/>
    <mergeCell ref="G21:G22"/>
    <mergeCell ref="G23:H23"/>
    <mergeCell ref="B37:B38"/>
    <mergeCell ref="D37:D38"/>
    <mergeCell ref="E37:E38"/>
    <mergeCell ref="F37:F38"/>
    <mergeCell ref="G37:G38"/>
    <mergeCell ref="B29:B33"/>
    <mergeCell ref="E29:E33"/>
    <mergeCell ref="F29:F33"/>
    <mergeCell ref="G29:G33"/>
    <mergeCell ref="B39:B40"/>
    <mergeCell ref="D39:D40"/>
    <mergeCell ref="E39:E40"/>
    <mergeCell ref="F39:F40"/>
    <mergeCell ref="G39:G40"/>
    <mergeCell ref="B42:B45"/>
    <mergeCell ref="D42:D45"/>
    <mergeCell ref="B24:B26"/>
    <mergeCell ref="B48:B50"/>
    <mergeCell ref="D48:D50"/>
    <mergeCell ref="E48:E50"/>
    <mergeCell ref="F48:F50"/>
    <mergeCell ref="G48:G50"/>
    <mergeCell ref="B51:B52"/>
    <mergeCell ref="D51:D52"/>
    <mergeCell ref="E51:E52"/>
    <mergeCell ref="F51:F52"/>
    <mergeCell ref="C47:C64"/>
    <mergeCell ref="B119:B123"/>
    <mergeCell ref="C119:C124"/>
    <mergeCell ref="D24:D26"/>
    <mergeCell ref="F24:F26"/>
    <mergeCell ref="B94:B97"/>
    <mergeCell ref="C94:C104"/>
    <mergeCell ref="D94:D97"/>
    <mergeCell ref="E94:E99"/>
    <mergeCell ref="F94:F99"/>
    <mergeCell ref="B98:B99"/>
    <mergeCell ref="D98:D99"/>
    <mergeCell ref="E84:E87"/>
    <mergeCell ref="B88:B92"/>
    <mergeCell ref="D88:D92"/>
    <mergeCell ref="E88:E92"/>
    <mergeCell ref="F88:F92"/>
    <mergeCell ref="B80:B83"/>
    <mergeCell ref="C80:C92"/>
    <mergeCell ref="D80:D83"/>
    <mergeCell ref="E80:E83"/>
    <mergeCell ref="F80:F83"/>
    <mergeCell ref="B84:B86"/>
    <mergeCell ref="B73:B77"/>
    <mergeCell ref="D73:D77"/>
    <mergeCell ref="B108:B115"/>
    <mergeCell ref="C108:C115"/>
    <mergeCell ref="G94:G99"/>
    <mergeCell ref="G103:G104"/>
    <mergeCell ref="G84:G87"/>
    <mergeCell ref="G88:G92"/>
    <mergeCell ref="G80:G83"/>
    <mergeCell ref="G68:G70"/>
    <mergeCell ref="E73:E74"/>
    <mergeCell ref="F73:F74"/>
    <mergeCell ref="G73:G74"/>
    <mergeCell ref="E75:E76"/>
    <mergeCell ref="F75:F76"/>
    <mergeCell ref="G75:G76"/>
    <mergeCell ref="C66:C78"/>
    <mergeCell ref="E66:E67"/>
    <mergeCell ref="F66:F67"/>
    <mergeCell ref="G66:G67"/>
    <mergeCell ref="B68:B70"/>
    <mergeCell ref="D68:D70"/>
    <mergeCell ref="E68:E70"/>
    <mergeCell ref="F68:F70"/>
    <mergeCell ref="G24:G26"/>
    <mergeCell ref="E24:E26"/>
    <mergeCell ref="E53:E56"/>
    <mergeCell ref="F53:F56"/>
    <mergeCell ref="H68:H69"/>
    <mergeCell ref="D63:D64"/>
    <mergeCell ref="E63:E64"/>
    <mergeCell ref="B58:B60"/>
    <mergeCell ref="D58:D60"/>
    <mergeCell ref="E58:E60"/>
    <mergeCell ref="F58:F60"/>
    <mergeCell ref="G58:G60"/>
    <mergeCell ref="B61:B62"/>
    <mergeCell ref="D61:D62"/>
    <mergeCell ref="E61:E62"/>
    <mergeCell ref="F61:F62"/>
    <mergeCell ref="G61:G62"/>
    <mergeCell ref="E42:E45"/>
    <mergeCell ref="F42:F45"/>
    <mergeCell ref="G42:G45"/>
    <mergeCell ref="G51:G52"/>
    <mergeCell ref="B53:B55"/>
    <mergeCell ref="D53:D55"/>
    <mergeCell ref="G53:G56"/>
  </mergeCells>
  <conditionalFormatting sqref="J94:J104 J80:J92 J47:J78 J24:J45">
    <cfRule type="containsText" dxfId="24" priority="19" operator="containsText" text="Not compliant (0 - 49%)">
      <formula>NOT(ISERROR(SEARCH("Not compliant (0 - 49%)",J24)))</formula>
    </cfRule>
    <cfRule type="containsText" dxfId="23" priority="20" operator="containsText" text="Partially compliant (50 - 99%)">
      <formula>NOT(ISERROR(SEARCH("Partially compliant (50 - 99%)",J24)))</formula>
    </cfRule>
    <cfRule type="containsText" dxfId="22" priority="21" operator="containsText" text="Fully compliant (100%)">
      <formula>NOT(ISERROR(SEARCH("Fully compliant (100%)",J24)))</formula>
    </cfRule>
  </conditionalFormatting>
  <conditionalFormatting sqref="J106">
    <cfRule type="containsText" dxfId="21" priority="16" operator="containsText" text="Not compliant (0 - 49%)">
      <formula>NOT(ISERROR(SEARCH("Not compliant (0 - 49%)",J106)))</formula>
    </cfRule>
    <cfRule type="containsText" dxfId="20" priority="17" operator="containsText" text="Partially compliant (50 - 99%)">
      <formula>NOT(ISERROR(SEARCH("Partially compliant (50 - 99%)",J106)))</formula>
    </cfRule>
    <cfRule type="containsText" dxfId="19" priority="18" operator="containsText" text="Fully compliant (100%)">
      <formula>NOT(ISERROR(SEARCH("Fully compliant (100%)",J106)))</formula>
    </cfRule>
  </conditionalFormatting>
  <conditionalFormatting sqref="J108">
    <cfRule type="containsText" dxfId="18" priority="13" operator="containsText" text="Not compliant (0 - 49%)">
      <formula>NOT(ISERROR(SEARCH("Not compliant (0 - 49%)",J108)))</formula>
    </cfRule>
    <cfRule type="containsText" dxfId="17" priority="14" operator="containsText" text="Partially compliant (50 - 99%)">
      <formula>NOT(ISERROR(SEARCH("Partially compliant (50 - 99%)",J108)))</formula>
    </cfRule>
    <cfRule type="containsText" dxfId="16" priority="15" operator="containsText" text="Fully compliant (100%)">
      <formula>NOT(ISERROR(SEARCH("Fully compliant (100%)",J108)))</formula>
    </cfRule>
  </conditionalFormatting>
  <conditionalFormatting sqref="J109:J110">
    <cfRule type="containsText" dxfId="15" priority="10" operator="containsText" text="Not compliant (0 - 49%)">
      <formula>NOT(ISERROR(SEARCH("Not compliant (0 - 49%)",J109)))</formula>
    </cfRule>
    <cfRule type="containsText" dxfId="14" priority="11" operator="containsText" text="Partially compliant (50 - 99%)">
      <formula>NOT(ISERROR(SEARCH("Partially compliant (50 - 99%)",J109)))</formula>
    </cfRule>
    <cfRule type="containsText" dxfId="13" priority="12" operator="containsText" text="Fully compliant (100%)">
      <formula>NOT(ISERROR(SEARCH("Fully compliant (100%)",J109)))</formula>
    </cfRule>
  </conditionalFormatting>
  <conditionalFormatting sqref="J111:J115">
    <cfRule type="containsText" dxfId="12" priority="7" operator="containsText" text="Not compliant (0 - 49%)">
      <formula>NOT(ISERROR(SEARCH("Not compliant (0 - 49%)",J111)))</formula>
    </cfRule>
    <cfRule type="containsText" dxfId="11" priority="8" operator="containsText" text="Partially compliant (50 - 99%)">
      <formula>NOT(ISERROR(SEARCH("Partially compliant (50 - 99%)",J111)))</formula>
    </cfRule>
    <cfRule type="containsText" dxfId="10" priority="9" operator="containsText" text="Fully compliant (100%)">
      <formula>NOT(ISERROR(SEARCH("Fully compliant (100%)",J111)))</formula>
    </cfRule>
  </conditionalFormatting>
  <conditionalFormatting sqref="J117">
    <cfRule type="containsText" dxfId="9" priority="4" operator="containsText" text="Not compliant (0 - 49%)">
      <formula>NOT(ISERROR(SEARCH("Not compliant (0 - 49%)",J117)))</formula>
    </cfRule>
    <cfRule type="containsText" dxfId="8" priority="5" operator="containsText" text="Partially compliant (50 - 99%)">
      <formula>NOT(ISERROR(SEARCH("Partially compliant (50 - 99%)",J117)))</formula>
    </cfRule>
    <cfRule type="containsText" dxfId="7" priority="6" operator="containsText" text="Fully compliant (100%)">
      <formula>NOT(ISERROR(SEARCH("Fully compliant (100%)",J117)))</formula>
    </cfRule>
  </conditionalFormatting>
  <conditionalFormatting sqref="J119:J123">
    <cfRule type="containsText" dxfId="6" priority="1" operator="containsText" text="Not compliant (0 - 49%)">
      <formula>NOT(ISERROR(SEARCH("Not compliant (0 - 49%)",J119)))</formula>
    </cfRule>
    <cfRule type="containsText" dxfId="5" priority="2" operator="containsText" text="Partially compliant (50 - 99%)">
      <formula>NOT(ISERROR(SEARCH("Partially compliant (50 - 99%)",J119)))</formula>
    </cfRule>
    <cfRule type="containsText" dxfId="4" priority="3" operator="containsText" text="Fully compliant (100%)">
      <formula>NOT(ISERROR(SEARCH("Fully compliant (100%)",J119)))</formula>
    </cfRule>
  </conditionalFormatting>
  <dataValidations count="1">
    <dataValidation type="list" allowBlank="1" showInputMessage="1" showErrorMessage="1" sqref="J106 J108:J115 J117 J119:J123 J47:J104 J24:J45">
      <formula1>"Fully compliant (100%), Partially compliant (50 - 99%), Not compliant (0 - 49%)"</formula1>
    </dataValidation>
  </dataValidation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00"/>
  </sheetPr>
  <dimension ref="B1:I46"/>
  <sheetViews>
    <sheetView showGridLines="0" tabSelected="1" topLeftCell="B4" zoomScale="77" zoomScaleNormal="70" zoomScalePageLayoutView="70" workbookViewId="0">
      <selection activeCell="E8" sqref="E8"/>
    </sheetView>
  </sheetViews>
  <sheetFormatPr defaultColWidth="13.77734375" defaultRowHeight="18.75" customHeight="1" x14ac:dyDescent="0.25"/>
  <cols>
    <col min="1" max="1" width="5.5546875" style="3" customWidth="1"/>
    <col min="2" max="2" width="5.77734375" style="3" customWidth="1"/>
    <col min="3" max="3" width="112.21875" style="3" customWidth="1"/>
    <col min="4" max="4" width="18.21875" style="3" customWidth="1"/>
    <col min="5" max="5" width="56.77734375" style="130" customWidth="1"/>
    <col min="6" max="7" width="26.77734375" style="3" customWidth="1"/>
    <col min="8" max="16384" width="13.77734375" style="3"/>
  </cols>
  <sheetData>
    <row r="1" spans="2:9" s="2" customFormat="1" ht="28.2" x14ac:dyDescent="0.45">
      <c r="B1" s="1" t="s">
        <v>265</v>
      </c>
      <c r="C1" s="1"/>
      <c r="E1" s="127"/>
    </row>
    <row r="2" spans="2:9" ht="78" customHeight="1" x14ac:dyDescent="0.25">
      <c r="B2" s="124" t="s">
        <v>267</v>
      </c>
      <c r="C2" s="121" t="s">
        <v>249</v>
      </c>
      <c r="D2" s="124" t="s">
        <v>1</v>
      </c>
      <c r="E2" s="128" t="s">
        <v>2</v>
      </c>
      <c r="F2" s="124" t="s">
        <v>266</v>
      </c>
      <c r="G2" s="131" t="s">
        <v>338</v>
      </c>
    </row>
    <row r="3" spans="2:9" ht="165.6" x14ac:dyDescent="0.25">
      <c r="B3" s="122">
        <v>1</v>
      </c>
      <c r="C3" s="122" t="s">
        <v>270</v>
      </c>
      <c r="D3" s="125" t="s">
        <v>302</v>
      </c>
      <c r="E3" s="129" t="s">
        <v>304</v>
      </c>
      <c r="F3" s="126"/>
      <c r="G3" s="132"/>
    </row>
    <row r="4" spans="2:9" ht="153.6" customHeight="1" x14ac:dyDescent="0.25">
      <c r="B4" s="122">
        <v>2</v>
      </c>
      <c r="C4" s="122" t="s">
        <v>271</v>
      </c>
      <c r="D4" s="125" t="s">
        <v>302</v>
      </c>
      <c r="E4" s="137" t="s">
        <v>353</v>
      </c>
      <c r="F4" s="126" t="s">
        <v>317</v>
      </c>
      <c r="G4" s="133" t="s">
        <v>339</v>
      </c>
    </row>
    <row r="5" spans="2:9" ht="120" x14ac:dyDescent="0.25">
      <c r="B5" s="122">
        <v>3</v>
      </c>
      <c r="C5" s="123" t="s">
        <v>272</v>
      </c>
      <c r="D5" s="125" t="s">
        <v>302</v>
      </c>
      <c r="E5" s="129" t="s">
        <v>305</v>
      </c>
      <c r="F5" s="126" t="s">
        <v>318</v>
      </c>
      <c r="G5" s="133" t="s">
        <v>340</v>
      </c>
    </row>
    <row r="6" spans="2:9" ht="30" x14ac:dyDescent="0.25">
      <c r="B6" s="122">
        <v>4</v>
      </c>
      <c r="C6" s="123" t="s">
        <v>273</v>
      </c>
      <c r="D6" s="125" t="s">
        <v>303</v>
      </c>
      <c r="E6" s="135" t="s">
        <v>354</v>
      </c>
      <c r="F6" s="126" t="s">
        <v>319</v>
      </c>
      <c r="G6" s="132"/>
    </row>
    <row r="7" spans="2:9" ht="27.6" x14ac:dyDescent="0.25">
      <c r="B7" s="122">
        <v>5</v>
      </c>
      <c r="C7" s="123" t="s">
        <v>274</v>
      </c>
      <c r="D7" s="125" t="s">
        <v>303</v>
      </c>
      <c r="E7" s="129"/>
      <c r="F7" s="126"/>
      <c r="G7" s="133"/>
    </row>
    <row r="8" spans="2:9" ht="150" x14ac:dyDescent="0.25">
      <c r="B8" s="122">
        <v>6</v>
      </c>
      <c r="C8" s="123" t="s">
        <v>275</v>
      </c>
      <c r="D8" s="125" t="s">
        <v>302</v>
      </c>
      <c r="E8" s="129" t="s">
        <v>306</v>
      </c>
      <c r="F8" s="126" t="s">
        <v>320</v>
      </c>
      <c r="G8" s="132"/>
    </row>
    <row r="9" spans="2:9" ht="27.6" x14ac:dyDescent="0.25">
      <c r="B9" s="122">
        <v>7</v>
      </c>
      <c r="C9" s="123" t="s">
        <v>276</v>
      </c>
      <c r="D9" s="125" t="s">
        <v>302</v>
      </c>
      <c r="E9" s="129" t="s">
        <v>306</v>
      </c>
      <c r="F9" s="126"/>
      <c r="G9" s="132"/>
    </row>
    <row r="10" spans="2:9" ht="165" x14ac:dyDescent="0.25">
      <c r="B10" s="122">
        <v>8</v>
      </c>
      <c r="C10" s="123" t="s">
        <v>277</v>
      </c>
      <c r="D10" s="125" t="s">
        <v>302</v>
      </c>
      <c r="E10" s="135" t="s">
        <v>306</v>
      </c>
      <c r="F10" s="126" t="s">
        <v>321</v>
      </c>
      <c r="G10" s="132"/>
    </row>
    <row r="11" spans="2:9" ht="27.6" x14ac:dyDescent="0.25">
      <c r="B11" s="122">
        <v>9</v>
      </c>
      <c r="C11" s="123" t="s">
        <v>278</v>
      </c>
      <c r="D11" s="125" t="s">
        <v>302</v>
      </c>
      <c r="E11" s="129" t="s">
        <v>306</v>
      </c>
      <c r="F11" s="126"/>
      <c r="G11" s="132"/>
    </row>
    <row r="12" spans="2:9" ht="27.6" x14ac:dyDescent="0.25">
      <c r="B12" s="122">
        <v>10</v>
      </c>
      <c r="C12" s="123" t="s">
        <v>279</v>
      </c>
      <c r="D12" s="125" t="s">
        <v>302</v>
      </c>
      <c r="E12" s="129" t="s">
        <v>306</v>
      </c>
      <c r="F12" s="126"/>
      <c r="G12" s="132"/>
    </row>
    <row r="13" spans="2:9" s="7" customFormat="1" ht="82.8" x14ac:dyDescent="0.3">
      <c r="B13" s="122">
        <v>11</v>
      </c>
      <c r="C13" s="122" t="s">
        <v>250</v>
      </c>
      <c r="D13" s="125" t="s">
        <v>302</v>
      </c>
      <c r="E13" s="129" t="s">
        <v>308</v>
      </c>
      <c r="F13" s="126"/>
      <c r="G13" s="132"/>
      <c r="H13" s="8"/>
      <c r="I13" s="8"/>
    </row>
    <row r="14" spans="2:9" s="7" customFormat="1" ht="55.2" x14ac:dyDescent="0.3">
      <c r="B14" s="122">
        <v>12</v>
      </c>
      <c r="C14" s="122" t="s">
        <v>254</v>
      </c>
      <c r="D14" s="125" t="s">
        <v>302</v>
      </c>
      <c r="E14" s="129" t="s">
        <v>309</v>
      </c>
      <c r="F14" s="126"/>
      <c r="G14" s="132"/>
    </row>
    <row r="15" spans="2:9" s="7" customFormat="1" ht="41.4" x14ac:dyDescent="0.3">
      <c r="B15" s="122">
        <v>13</v>
      </c>
      <c r="C15" s="122" t="s">
        <v>255</v>
      </c>
      <c r="D15" s="125" t="s">
        <v>302</v>
      </c>
      <c r="E15" s="129"/>
      <c r="F15" s="126"/>
      <c r="G15" s="132"/>
    </row>
    <row r="16" spans="2:9" s="7" customFormat="1" ht="120" x14ac:dyDescent="0.3">
      <c r="B16" s="122">
        <v>14</v>
      </c>
      <c r="C16" s="122" t="s">
        <v>251</v>
      </c>
      <c r="D16" s="125" t="s">
        <v>303</v>
      </c>
      <c r="E16" s="135" t="s">
        <v>355</v>
      </c>
      <c r="F16" s="126"/>
      <c r="G16" s="132"/>
    </row>
    <row r="17" spans="2:7" s="7" customFormat="1" ht="45" x14ac:dyDescent="0.3">
      <c r="B17" s="122">
        <v>15</v>
      </c>
      <c r="C17" s="122" t="s">
        <v>256</v>
      </c>
      <c r="D17" s="125" t="s">
        <v>307</v>
      </c>
      <c r="E17" s="138" t="s">
        <v>341</v>
      </c>
      <c r="F17" s="126" t="s">
        <v>322</v>
      </c>
      <c r="G17" s="133" t="s">
        <v>341</v>
      </c>
    </row>
    <row r="18" spans="2:7" s="7" customFormat="1" ht="27.6" x14ac:dyDescent="0.3">
      <c r="B18" s="122">
        <v>16</v>
      </c>
      <c r="C18" s="122" t="s">
        <v>280</v>
      </c>
      <c r="D18" s="125" t="s">
        <v>303</v>
      </c>
      <c r="E18" s="135" t="s">
        <v>351</v>
      </c>
      <c r="F18" s="126"/>
      <c r="G18" s="132"/>
    </row>
    <row r="19" spans="2:7" s="7" customFormat="1" ht="69" x14ac:dyDescent="0.3">
      <c r="B19" s="122">
        <v>17</v>
      </c>
      <c r="C19" s="122" t="s">
        <v>257</v>
      </c>
      <c r="D19" s="125" t="s">
        <v>302</v>
      </c>
      <c r="E19" s="134" t="s">
        <v>342</v>
      </c>
      <c r="F19" s="126" t="s">
        <v>323</v>
      </c>
      <c r="G19" s="132"/>
    </row>
    <row r="20" spans="2:7" s="7" customFormat="1" ht="138" x14ac:dyDescent="0.3">
      <c r="B20" s="122">
        <v>18</v>
      </c>
      <c r="C20" s="122" t="s">
        <v>281</v>
      </c>
      <c r="D20" s="125" t="s">
        <v>303</v>
      </c>
      <c r="E20" s="129" t="s">
        <v>310</v>
      </c>
      <c r="F20" s="126"/>
      <c r="G20" s="132"/>
    </row>
    <row r="21" spans="2:7" s="7" customFormat="1" ht="55.2" x14ac:dyDescent="0.3">
      <c r="B21" s="122">
        <v>19</v>
      </c>
      <c r="C21" s="122" t="s">
        <v>282</v>
      </c>
      <c r="D21" s="125" t="s">
        <v>302</v>
      </c>
      <c r="E21" s="134" t="s">
        <v>343</v>
      </c>
      <c r="F21" s="126" t="s">
        <v>323</v>
      </c>
      <c r="G21" s="132"/>
    </row>
    <row r="22" spans="2:7" s="7" customFormat="1" ht="82.8" x14ac:dyDescent="0.3">
      <c r="B22" s="122">
        <v>20</v>
      </c>
      <c r="C22" s="122" t="s">
        <v>259</v>
      </c>
      <c r="D22" s="125" t="s">
        <v>302</v>
      </c>
      <c r="E22" s="129" t="s">
        <v>311</v>
      </c>
      <c r="F22" s="126"/>
      <c r="G22" s="132"/>
    </row>
    <row r="23" spans="2:7" s="7" customFormat="1" ht="27.6" x14ac:dyDescent="0.3">
      <c r="B23" s="122">
        <v>21</v>
      </c>
      <c r="C23" s="122" t="s">
        <v>258</v>
      </c>
      <c r="D23" s="125" t="s">
        <v>302</v>
      </c>
      <c r="E23" s="129" t="s">
        <v>306</v>
      </c>
      <c r="F23" s="126"/>
      <c r="G23" s="132"/>
    </row>
    <row r="24" spans="2:7" s="7" customFormat="1" ht="90" x14ac:dyDescent="0.3">
      <c r="B24" s="122">
        <v>22</v>
      </c>
      <c r="C24" s="122" t="s">
        <v>283</v>
      </c>
      <c r="D24" s="125" t="s">
        <v>302</v>
      </c>
      <c r="E24" s="139" t="s">
        <v>352</v>
      </c>
      <c r="F24" s="126" t="s">
        <v>324</v>
      </c>
      <c r="G24" s="133"/>
    </row>
    <row r="25" spans="2:7" s="7" customFormat="1" ht="151.80000000000001" x14ac:dyDescent="0.3">
      <c r="B25" s="122">
        <v>23</v>
      </c>
      <c r="C25" s="122" t="s">
        <v>284</v>
      </c>
      <c r="D25" s="125" t="s">
        <v>302</v>
      </c>
      <c r="E25" s="139" t="s">
        <v>356</v>
      </c>
      <c r="F25" s="126" t="s">
        <v>325</v>
      </c>
      <c r="G25" s="133" t="s">
        <v>350</v>
      </c>
    </row>
    <row r="26" spans="2:7" s="7" customFormat="1" ht="60" x14ac:dyDescent="0.3">
      <c r="B26" s="122">
        <v>24</v>
      </c>
      <c r="C26" s="122" t="s">
        <v>252</v>
      </c>
      <c r="D26" s="125" t="s">
        <v>302</v>
      </c>
      <c r="E26" s="139" t="s">
        <v>356</v>
      </c>
      <c r="F26" s="126" t="s">
        <v>326</v>
      </c>
      <c r="G26" s="133" t="s">
        <v>350</v>
      </c>
    </row>
    <row r="27" spans="2:7" s="7" customFormat="1" ht="90" x14ac:dyDescent="0.3">
      <c r="B27" s="122">
        <v>25</v>
      </c>
      <c r="C27" s="122" t="s">
        <v>285</v>
      </c>
      <c r="D27" s="125" t="s">
        <v>302</v>
      </c>
      <c r="E27" s="135" t="s">
        <v>312</v>
      </c>
      <c r="F27" s="126" t="s">
        <v>327</v>
      </c>
      <c r="G27" s="133" t="s">
        <v>350</v>
      </c>
    </row>
    <row r="28" spans="2:7" s="79" customFormat="1" ht="90" x14ac:dyDescent="0.3">
      <c r="B28" s="122">
        <v>26</v>
      </c>
      <c r="C28" s="122" t="s">
        <v>261</v>
      </c>
      <c r="D28" s="125" t="s">
        <v>302</v>
      </c>
      <c r="E28" s="135" t="s">
        <v>349</v>
      </c>
      <c r="F28" s="126" t="s">
        <v>328</v>
      </c>
      <c r="G28" s="132"/>
    </row>
    <row r="29" spans="2:7" s="7" customFormat="1" ht="124.2" x14ac:dyDescent="0.3">
      <c r="B29" s="122">
        <v>27</v>
      </c>
      <c r="C29" s="122" t="s">
        <v>286</v>
      </c>
      <c r="D29" s="125" t="s">
        <v>302</v>
      </c>
      <c r="E29" s="135" t="s">
        <v>357</v>
      </c>
      <c r="F29" s="126" t="s">
        <v>329</v>
      </c>
      <c r="G29" s="133"/>
    </row>
    <row r="30" spans="2:7" s="7" customFormat="1" ht="60" x14ac:dyDescent="0.3">
      <c r="B30" s="122">
        <v>28</v>
      </c>
      <c r="C30" s="122" t="s">
        <v>287</v>
      </c>
      <c r="D30" s="125" t="s">
        <v>302</v>
      </c>
      <c r="E30" s="135" t="s">
        <v>359</v>
      </c>
      <c r="F30" s="126"/>
      <c r="G30" s="132"/>
    </row>
    <row r="31" spans="2:7" s="7" customFormat="1" ht="124.2" x14ac:dyDescent="0.3">
      <c r="B31" s="122">
        <v>29</v>
      </c>
      <c r="C31" s="122" t="s">
        <v>288</v>
      </c>
      <c r="D31" s="125" t="s">
        <v>302</v>
      </c>
      <c r="E31" s="129" t="s">
        <v>313</v>
      </c>
      <c r="F31" s="126"/>
      <c r="G31" s="132"/>
    </row>
    <row r="32" spans="2:7" s="7" customFormat="1" ht="135" x14ac:dyDescent="0.3">
      <c r="B32" s="122">
        <v>30</v>
      </c>
      <c r="C32" s="122" t="s">
        <v>289</v>
      </c>
      <c r="D32" s="125" t="s">
        <v>302</v>
      </c>
      <c r="E32" s="136" t="s">
        <v>358</v>
      </c>
      <c r="F32" s="126" t="s">
        <v>330</v>
      </c>
      <c r="G32" s="134" t="s">
        <v>344</v>
      </c>
    </row>
    <row r="33" spans="2:7" s="7" customFormat="1" ht="27.6" x14ac:dyDescent="0.3">
      <c r="B33" s="122">
        <v>31</v>
      </c>
      <c r="C33" s="122" t="s">
        <v>290</v>
      </c>
      <c r="D33" s="125" t="s">
        <v>303</v>
      </c>
      <c r="E33" s="129" t="s">
        <v>352</v>
      </c>
      <c r="F33" s="126" t="s">
        <v>331</v>
      </c>
      <c r="G33" s="132"/>
    </row>
    <row r="34" spans="2:7" s="7" customFormat="1" ht="27.6" x14ac:dyDescent="0.3">
      <c r="B34" s="122">
        <v>32</v>
      </c>
      <c r="C34" s="122" t="s">
        <v>291</v>
      </c>
      <c r="D34" s="125" t="s">
        <v>303</v>
      </c>
      <c r="E34" s="129" t="s">
        <v>352</v>
      </c>
      <c r="F34" s="126" t="s">
        <v>332</v>
      </c>
      <c r="G34" s="132"/>
    </row>
    <row r="35" spans="2:7" s="7" customFormat="1" ht="151.80000000000001" x14ac:dyDescent="0.3">
      <c r="B35" s="122">
        <v>33</v>
      </c>
      <c r="C35" s="122" t="s">
        <v>292</v>
      </c>
      <c r="D35" s="125" t="s">
        <v>302</v>
      </c>
      <c r="E35" s="129" t="s">
        <v>314</v>
      </c>
      <c r="F35" s="126"/>
      <c r="G35" s="132"/>
    </row>
    <row r="36" spans="2:7" s="8" customFormat="1" ht="75" x14ac:dyDescent="0.3">
      <c r="B36" s="122">
        <v>34</v>
      </c>
      <c r="C36" s="122" t="s">
        <v>293</v>
      </c>
      <c r="D36" s="125" t="s">
        <v>303</v>
      </c>
      <c r="E36" s="129" t="s">
        <v>352</v>
      </c>
      <c r="F36" s="126" t="s">
        <v>333</v>
      </c>
      <c r="G36" s="133" t="s">
        <v>345</v>
      </c>
    </row>
    <row r="37" spans="2:7" s="8" customFormat="1" ht="27.6" x14ac:dyDescent="0.3">
      <c r="B37" s="122">
        <v>35</v>
      </c>
      <c r="C37" s="122" t="s">
        <v>294</v>
      </c>
      <c r="D37" s="125" t="s">
        <v>303</v>
      </c>
      <c r="E37" s="129"/>
      <c r="F37" s="126" t="s">
        <v>331</v>
      </c>
      <c r="G37" s="132"/>
    </row>
    <row r="38" spans="2:7" s="8" customFormat="1" ht="45" x14ac:dyDescent="0.3">
      <c r="B38" s="122">
        <v>36</v>
      </c>
      <c r="C38" s="122" t="s">
        <v>295</v>
      </c>
      <c r="D38" s="125" t="s">
        <v>302</v>
      </c>
      <c r="E38" s="134" t="s">
        <v>346</v>
      </c>
      <c r="F38" s="126" t="s">
        <v>334</v>
      </c>
      <c r="G38" s="132"/>
    </row>
    <row r="39" spans="2:7" s="8" customFormat="1" ht="41.4" x14ac:dyDescent="0.3">
      <c r="B39" s="122">
        <v>37</v>
      </c>
      <c r="C39" s="122" t="s">
        <v>296</v>
      </c>
      <c r="D39" s="125" t="s">
        <v>302</v>
      </c>
      <c r="E39" s="129" t="s">
        <v>315</v>
      </c>
      <c r="F39" s="126"/>
      <c r="G39" s="132"/>
    </row>
    <row r="40" spans="2:7" s="8" customFormat="1" ht="30" x14ac:dyDescent="0.3">
      <c r="B40" s="122">
        <v>38</v>
      </c>
      <c r="C40" s="122" t="s">
        <v>260</v>
      </c>
      <c r="D40" s="125" t="s">
        <v>302</v>
      </c>
      <c r="E40" s="134" t="s">
        <v>347</v>
      </c>
      <c r="F40" s="126" t="s">
        <v>335</v>
      </c>
      <c r="G40" s="132"/>
    </row>
    <row r="41" spans="2:7" s="8" customFormat="1" ht="30" x14ac:dyDescent="0.3">
      <c r="B41" s="122">
        <v>39</v>
      </c>
      <c r="C41" s="122" t="s">
        <v>297</v>
      </c>
      <c r="D41" s="125" t="s">
        <v>303</v>
      </c>
      <c r="E41" s="129"/>
      <c r="F41" s="126" t="s">
        <v>319</v>
      </c>
      <c r="G41" s="132"/>
    </row>
    <row r="42" spans="2:7" s="8" customFormat="1" ht="60" x14ac:dyDescent="0.3">
      <c r="B42" s="122">
        <v>40</v>
      </c>
      <c r="C42" s="122" t="s">
        <v>298</v>
      </c>
      <c r="D42" s="125" t="s">
        <v>302</v>
      </c>
      <c r="E42" s="135" t="s">
        <v>349</v>
      </c>
      <c r="F42" s="126" t="s">
        <v>336</v>
      </c>
      <c r="G42" s="133" t="s">
        <v>348</v>
      </c>
    </row>
    <row r="43" spans="2:7" s="8" customFormat="1" ht="60" x14ac:dyDescent="0.3">
      <c r="B43" s="122">
        <v>41</v>
      </c>
      <c r="C43" s="122" t="s">
        <v>253</v>
      </c>
      <c r="D43" s="125" t="s">
        <v>302</v>
      </c>
      <c r="E43" s="135" t="s">
        <v>349</v>
      </c>
      <c r="F43" s="126" t="s">
        <v>337</v>
      </c>
      <c r="G43" s="132"/>
    </row>
    <row r="44" spans="2:7" s="8" customFormat="1" ht="27.6" x14ac:dyDescent="0.3">
      <c r="B44" s="122">
        <v>42</v>
      </c>
      <c r="C44" s="122" t="s">
        <v>299</v>
      </c>
      <c r="D44" s="125" t="s">
        <v>303</v>
      </c>
      <c r="E44" s="129"/>
      <c r="F44" s="126"/>
      <c r="G44" s="138"/>
    </row>
    <row r="45" spans="2:7" s="8" customFormat="1" ht="55.2" x14ac:dyDescent="0.3">
      <c r="B45" s="122">
        <v>43</v>
      </c>
      <c r="C45" s="122" t="s">
        <v>300</v>
      </c>
      <c r="D45" s="125" t="s">
        <v>302</v>
      </c>
      <c r="E45" s="129" t="s">
        <v>306</v>
      </c>
      <c r="F45" s="126"/>
      <c r="G45" s="132"/>
    </row>
    <row r="46" spans="2:7" s="8" customFormat="1" ht="30" x14ac:dyDescent="0.3">
      <c r="B46" s="122">
        <v>44</v>
      </c>
      <c r="C46" s="122" t="s">
        <v>301</v>
      </c>
      <c r="D46" s="125" t="s">
        <v>302</v>
      </c>
      <c r="E46" s="129" t="s">
        <v>316</v>
      </c>
      <c r="F46" s="126"/>
      <c r="G46" s="132"/>
    </row>
  </sheetData>
  <protectedRanges>
    <protectedRange sqref="C3" name="Light"/>
    <protectedRange sqref="C5:C12" name="Light_1"/>
    <protectedRange sqref="C4" name="Full_4"/>
  </protectedRanges>
  <dataConsolidate/>
  <conditionalFormatting sqref="D3:D46">
    <cfRule type="cellIs" dxfId="3" priority="1" operator="equal">
      <formula>"N/a"</formula>
    </cfRule>
    <cfRule type="cellIs" dxfId="2" priority="2" operator="equal">
      <formula>"Not compliant"</formula>
    </cfRule>
    <cfRule type="cellIs" dxfId="1" priority="3" operator="equal">
      <formula>"Partially compliant"</formula>
    </cfRule>
    <cfRule type="cellIs" dxfId="0" priority="4" operator="equal">
      <formula>"Fully compliant"</formula>
    </cfRule>
  </conditionalFormatting>
  <dataValidations count="1">
    <dataValidation type="list" allowBlank="1" showInputMessage="1" showErrorMessage="1" sqref="D3:D46">
      <formula1>"Fully compliant, Partially compliant, Not compliant, N/a"</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Questionnaire-Solutions (light)</vt:lpstr>
      <vt:lpstr>Min Requirements Data Centers</vt:lpstr>
    </vt:vector>
  </TitlesOfParts>
  <Company>Old Mutual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Ilhaam Booley</dc:creator>
  <cp:lastModifiedBy>Lukas Van Rensburg</cp:lastModifiedBy>
  <cp:lastPrinted>2016-02-25T23:49:03Z</cp:lastPrinted>
  <dcterms:created xsi:type="dcterms:W3CDTF">2016-02-18T11:13:12Z</dcterms:created>
  <dcterms:modified xsi:type="dcterms:W3CDTF">2018-08-07T07:04:59Z</dcterms:modified>
</cp:coreProperties>
</file>