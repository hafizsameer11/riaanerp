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bert\Documents\SAUTECH\CLIENTS\4 RHS\"/>
    </mc:Choice>
  </mc:AlternateContent>
  <bookViews>
    <workbookView xWindow="0" yWindow="0" windowWidth="20490" windowHeight="7650"/>
  </bookViews>
  <sheets>
    <sheet name="QUOTE" sheetId="1" r:id="rId1"/>
    <sheet name="MATERIALS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2" l="1"/>
  <c r="H15" i="2"/>
  <c r="H30" i="2"/>
  <c r="G29" i="2"/>
  <c r="G15" i="2"/>
  <c r="G30" i="2"/>
  <c r="F29" i="2"/>
  <c r="F15" i="2"/>
  <c r="F30" i="2"/>
  <c r="E29" i="2"/>
  <c r="E15" i="2"/>
  <c r="E30" i="2"/>
  <c r="D29" i="2"/>
  <c r="D15" i="2"/>
  <c r="D30" i="2"/>
  <c r="C29" i="2"/>
  <c r="C15" i="2"/>
  <c r="C30" i="2"/>
  <c r="B29" i="2"/>
  <c r="B15" i="2"/>
  <c r="B30" i="2"/>
  <c r="F4" i="1"/>
  <c r="G4" i="1"/>
  <c r="H4" i="1"/>
  <c r="F6" i="1"/>
  <c r="G6" i="1"/>
  <c r="H6" i="1"/>
  <c r="F8" i="1"/>
  <c r="G8" i="1"/>
  <c r="H8" i="1"/>
  <c r="F10" i="1"/>
  <c r="G10" i="1"/>
  <c r="H10" i="1"/>
  <c r="F12" i="1"/>
  <c r="G12" i="1"/>
  <c r="H12" i="1"/>
  <c r="F14" i="1"/>
  <c r="G14" i="1"/>
  <c r="H14" i="1"/>
  <c r="F16" i="1"/>
  <c r="G16" i="1"/>
  <c r="H16" i="1"/>
  <c r="F18" i="1"/>
  <c r="G18" i="1"/>
  <c r="H18" i="1"/>
  <c r="F2" i="1"/>
  <c r="G2" i="1"/>
  <c r="H2" i="1"/>
</calcChain>
</file>

<file path=xl/sharedStrings.xml><?xml version="1.0" encoding="utf-8"?>
<sst xmlns="http://schemas.openxmlformats.org/spreadsheetml/2006/main" count="72" uniqueCount="54">
  <si>
    <t>DESCRIPTION</t>
  </si>
  <si>
    <t>UNIT</t>
  </si>
  <si>
    <t>QTY</t>
  </si>
  <si>
    <t>PRICE</t>
  </si>
  <si>
    <t>TOTAL EXCL</t>
  </si>
  <si>
    <t>EA</t>
  </si>
  <si>
    <t>SUPPLIER</t>
  </si>
  <si>
    <t>TOTAL INCL</t>
  </si>
  <si>
    <t>TAX @ 15%</t>
  </si>
  <si>
    <t>CAT5 CABLE</t>
  </si>
  <si>
    <t>C5</t>
  </si>
  <si>
    <t>C8</t>
  </si>
  <si>
    <t>RJ45 BOOTS</t>
  </si>
  <si>
    <t>RJ45 JACKS</t>
  </si>
  <si>
    <t>C12</t>
  </si>
  <si>
    <t>C15</t>
  </si>
  <si>
    <t>C17</t>
  </si>
  <si>
    <t>C20</t>
  </si>
  <si>
    <t>C21</t>
  </si>
  <si>
    <t>C22</t>
  </si>
  <si>
    <t>C24</t>
  </si>
  <si>
    <t>C29</t>
  </si>
  <si>
    <t>C49</t>
  </si>
  <si>
    <t>TOTAL</t>
  </si>
  <si>
    <t>CAT5E CABLE</t>
  </si>
  <si>
    <t>CAT5 RJ45 BOOTS</t>
  </si>
  <si>
    <t>CAT5 RJ45 CONNECTORS</t>
  </si>
  <si>
    <t>CONSUMABLES</t>
  </si>
  <si>
    <t>LOCATION:</t>
  </si>
  <si>
    <t xml:space="preserve">C7  </t>
  </si>
  <si>
    <t>T4</t>
  </si>
  <si>
    <t>T2</t>
  </si>
  <si>
    <t>RHS AP GROUND FLOOR</t>
  </si>
  <si>
    <t>LAB1 AP + POE INJECTOR</t>
  </si>
  <si>
    <t>LAB2 AP + POE INJECTOR</t>
  </si>
  <si>
    <t>MAIN HALL</t>
  </si>
  <si>
    <t>NEW CONFERENCE ROOM</t>
  </si>
  <si>
    <t>AP</t>
  </si>
  <si>
    <t>POE INJECTOR</t>
  </si>
  <si>
    <t>T3 Relocate Into Class Room</t>
  </si>
  <si>
    <t>T1 Relocate Into Class Room</t>
  </si>
  <si>
    <t>1m Patch Leads</t>
  </si>
  <si>
    <t>RHS AP 1ST FLOOR</t>
  </si>
  <si>
    <t>Media Centre</t>
  </si>
  <si>
    <t>C40</t>
  </si>
  <si>
    <t>C28</t>
  </si>
  <si>
    <t>PVC Trunking 25x40mm</t>
  </si>
  <si>
    <t>GRAND TOTAL:</t>
  </si>
  <si>
    <t>25x40 PVC TRUNKING</t>
  </si>
  <si>
    <t>RUCKUS AP'S R510</t>
  </si>
  <si>
    <t>RUCKUS POE INJECTORS</t>
  </si>
  <si>
    <t>1M PATCH LEADS GREY</t>
  </si>
  <si>
    <t>CALLOUT</t>
  </si>
  <si>
    <t>Quote Separate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</si>
</sst>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-1C09]* #,##0.00_-;\-[$R-1C09]* #,##0.00_-;_-[$R-1C09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4" fontId="0" fillId="0" borderId="0" xfId="1" applyNumberFormat="1" applyFont="1"/>
    <xf numFmtId="164" fontId="0" fillId="2" borderId="0" xfId="0" applyNumberFormat="1" applyFill="1"/>
    <xf numFmtId="164" fontId="0" fillId="0" borderId="0" xfId="0" applyNumberFormat="1"/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Font="1"/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6" fillId="0" borderId="0" xfId="0" applyFont="1" applyFill="1"/>
    <xf numFmtId="0" fontId="6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B5" sqref="B5"/>
    </sheetView>
  </sheetViews>
  <sheetFormatPr defaultRowHeight="15" x14ac:dyDescent="0.25"/>
  <cols>
    <col min="1" max="1" width="15" bestFit="1" customWidth="1"/>
    <col min="2" max="2" width="56.28515625" bestFit="1" customWidth="1"/>
    <col min="3" max="3" width="5.28515625" bestFit="1" customWidth="1"/>
    <col min="4" max="4" width="4.42578125" bestFit="1" customWidth="1"/>
    <col min="5" max="5" width="10.5703125" style="4" bestFit="1" customWidth="1"/>
    <col min="6" max="6" width="12.5703125" style="4" bestFit="1" customWidth="1"/>
    <col min="7" max="7" width="12.140625" style="6" bestFit="1" customWidth="1"/>
    <col min="8" max="8" width="12.42578125" style="6" bestFit="1" customWidth="1"/>
  </cols>
  <sheetData>
    <row r="1" spans="1:8" x14ac:dyDescent="0.25">
      <c r="A1" s="1" t="s">
        <v>6</v>
      </c>
      <c r="B1" s="1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5" t="s">
        <v>8</v>
      </c>
      <c r="H1" s="5" t="s">
        <v>7</v>
      </c>
    </row>
    <row r="2" spans="1:8" x14ac:dyDescent="0.25">
      <c r="B2" t="s">
        <v>24</v>
      </c>
      <c r="C2" t="s">
        <v>5</v>
      </c>
      <c r="D2">
        <v>675</v>
      </c>
      <c r="E2" s="4">
        <v>25</v>
      </c>
      <c r="F2" s="4">
        <f>D2*E2</f>
        <v>16875</v>
      </c>
      <c r="G2" s="6">
        <f>F2*0.15</f>
        <v>2531.25</v>
      </c>
      <c r="H2" s="6">
        <f>F2+G2</f>
        <v>19406.25</v>
      </c>
    </row>
    <row r="4" spans="1:8" x14ac:dyDescent="0.25">
      <c r="B4" t="s">
        <v>25</v>
      </c>
      <c r="C4" t="s">
        <v>5</v>
      </c>
      <c r="D4">
        <v>32</v>
      </c>
      <c r="E4" s="4">
        <v>0</v>
      </c>
      <c r="F4" s="4">
        <f t="shared" ref="F4:F18" si="0">D4*E4</f>
        <v>0</v>
      </c>
      <c r="G4" s="6">
        <f t="shared" ref="G4:G18" si="1">F4*0.15</f>
        <v>0</v>
      </c>
      <c r="H4" s="6">
        <f t="shared" ref="H4:H18" si="2">F4+G4</f>
        <v>0</v>
      </c>
    </row>
    <row r="6" spans="1:8" x14ac:dyDescent="0.25">
      <c r="B6" t="s">
        <v>26</v>
      </c>
      <c r="C6" t="s">
        <v>5</v>
      </c>
      <c r="D6">
        <v>32</v>
      </c>
      <c r="E6" s="4">
        <v>0</v>
      </c>
      <c r="F6" s="4">
        <f t="shared" si="0"/>
        <v>0</v>
      </c>
      <c r="G6" s="6">
        <f t="shared" si="1"/>
        <v>0</v>
      </c>
      <c r="H6" s="6">
        <f t="shared" si="2"/>
        <v>0</v>
      </c>
    </row>
    <row r="8" spans="1:8" x14ac:dyDescent="0.25">
      <c r="A8" t="s">
        <v>53</v>
      </c>
      <c r="B8" t="s">
        <v>49</v>
      </c>
      <c r="C8" t="s">
        <v>5</v>
      </c>
      <c r="D8">
        <v>21</v>
      </c>
      <c r="E8" s="4">
        <v>0</v>
      </c>
      <c r="F8" s="4">
        <f t="shared" si="0"/>
        <v>0</v>
      </c>
      <c r="G8" s="6">
        <f t="shared" si="1"/>
        <v>0</v>
      </c>
      <c r="H8" s="6">
        <f t="shared" si="2"/>
        <v>0</v>
      </c>
    </row>
    <row r="10" spans="1:8" x14ac:dyDescent="0.25">
      <c r="A10" t="s">
        <v>53</v>
      </c>
      <c r="B10" t="s">
        <v>50</v>
      </c>
      <c r="C10" t="s">
        <v>5</v>
      </c>
      <c r="D10">
        <v>7</v>
      </c>
      <c r="E10" s="4">
        <v>0</v>
      </c>
      <c r="F10" s="4">
        <f t="shared" si="0"/>
        <v>0</v>
      </c>
      <c r="G10" s="6">
        <f t="shared" si="1"/>
        <v>0</v>
      </c>
      <c r="H10" s="6">
        <f t="shared" si="2"/>
        <v>0</v>
      </c>
    </row>
    <row r="12" spans="1:8" x14ac:dyDescent="0.25">
      <c r="B12" t="s">
        <v>48</v>
      </c>
      <c r="C12" t="s">
        <v>5</v>
      </c>
      <c r="D12">
        <v>10</v>
      </c>
      <c r="E12" s="4">
        <v>0</v>
      </c>
      <c r="F12" s="4">
        <f t="shared" si="0"/>
        <v>0</v>
      </c>
      <c r="G12" s="6">
        <f t="shared" si="1"/>
        <v>0</v>
      </c>
      <c r="H12" s="6">
        <f t="shared" si="2"/>
        <v>0</v>
      </c>
    </row>
    <row r="14" spans="1:8" x14ac:dyDescent="0.25">
      <c r="B14" t="s">
        <v>51</v>
      </c>
      <c r="C14" t="s">
        <v>5</v>
      </c>
      <c r="D14">
        <v>7</v>
      </c>
      <c r="E14" s="4">
        <v>0</v>
      </c>
      <c r="F14" s="4">
        <f t="shared" si="0"/>
        <v>0</v>
      </c>
      <c r="G14" s="6">
        <f t="shared" si="1"/>
        <v>0</v>
      </c>
      <c r="H14" s="6">
        <f t="shared" si="2"/>
        <v>0</v>
      </c>
    </row>
    <row r="16" spans="1:8" x14ac:dyDescent="0.25">
      <c r="B16" t="s">
        <v>52</v>
      </c>
      <c r="C16" t="s">
        <v>5</v>
      </c>
      <c r="D16">
        <v>3</v>
      </c>
      <c r="E16" s="4">
        <v>195</v>
      </c>
      <c r="F16" s="4">
        <f t="shared" si="0"/>
        <v>585</v>
      </c>
      <c r="G16" s="6">
        <f t="shared" si="1"/>
        <v>87.75</v>
      </c>
      <c r="H16" s="6">
        <f t="shared" si="2"/>
        <v>672.75</v>
      </c>
    </row>
    <row r="18" spans="2:8" x14ac:dyDescent="0.25">
      <c r="B18" t="s">
        <v>27</v>
      </c>
      <c r="C18" t="s">
        <v>5</v>
      </c>
      <c r="D18">
        <v>1</v>
      </c>
      <c r="E18" s="4">
        <v>500</v>
      </c>
      <c r="F18" s="4">
        <f t="shared" si="0"/>
        <v>500</v>
      </c>
      <c r="G18" s="6">
        <f t="shared" si="1"/>
        <v>75</v>
      </c>
      <c r="H18" s="6">
        <f t="shared" si="2"/>
        <v>575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selection activeCell="C5" sqref="C5"/>
    </sheetView>
  </sheetViews>
  <sheetFormatPr defaultRowHeight="15" x14ac:dyDescent="0.25"/>
  <cols>
    <col min="1" max="1" width="42.28515625" bestFit="1" customWidth="1"/>
    <col min="2" max="2" width="11.28515625" style="9" bestFit="1" customWidth="1"/>
    <col min="3" max="3" width="10.5703125" style="9" bestFit="1" customWidth="1"/>
    <col min="4" max="4" width="11.28515625" style="9" bestFit="1" customWidth="1"/>
    <col min="5" max="5" width="9.140625" style="9"/>
    <col min="6" max="6" width="13.5703125" style="9" bestFit="1" customWidth="1"/>
    <col min="7" max="7" width="14.5703125" bestFit="1" customWidth="1"/>
    <col min="8" max="8" width="22" bestFit="1" customWidth="1"/>
  </cols>
  <sheetData>
    <row r="1" spans="1:8" x14ac:dyDescent="0.25">
      <c r="A1" s="8" t="s">
        <v>32</v>
      </c>
      <c r="B1" s="15"/>
      <c r="C1" s="15"/>
      <c r="D1" s="15"/>
      <c r="E1" s="15"/>
      <c r="F1" s="15"/>
      <c r="G1" s="15"/>
      <c r="H1" s="15"/>
    </row>
    <row r="2" spans="1:8" x14ac:dyDescent="0.25">
      <c r="A2" s="7" t="s">
        <v>28</v>
      </c>
      <c r="B2" s="16" t="s">
        <v>9</v>
      </c>
      <c r="C2" s="16" t="s">
        <v>13</v>
      </c>
      <c r="D2" s="16" t="s">
        <v>12</v>
      </c>
      <c r="E2" s="16" t="s">
        <v>37</v>
      </c>
      <c r="F2" s="16" t="s">
        <v>38</v>
      </c>
      <c r="G2" s="16" t="s">
        <v>41</v>
      </c>
      <c r="H2" s="16" t="s">
        <v>46</v>
      </c>
    </row>
    <row r="3" spans="1:8" x14ac:dyDescent="0.25">
      <c r="A3" s="14" t="s">
        <v>35</v>
      </c>
      <c r="B3" s="9">
        <v>0</v>
      </c>
      <c r="C3" s="9">
        <v>0</v>
      </c>
      <c r="D3" s="9">
        <v>0</v>
      </c>
      <c r="E3" s="9">
        <v>1</v>
      </c>
      <c r="F3" s="9">
        <v>1</v>
      </c>
      <c r="G3" s="9">
        <v>1</v>
      </c>
      <c r="H3" s="9">
        <v>0</v>
      </c>
    </row>
    <row r="4" spans="1:8" x14ac:dyDescent="0.25">
      <c r="A4" s="14" t="s">
        <v>36</v>
      </c>
      <c r="B4" s="9">
        <v>0</v>
      </c>
      <c r="C4" s="9">
        <v>0</v>
      </c>
      <c r="D4" s="9">
        <v>0</v>
      </c>
      <c r="E4" s="9">
        <v>1</v>
      </c>
      <c r="F4" s="9">
        <v>1</v>
      </c>
      <c r="G4" s="9">
        <v>1</v>
      </c>
      <c r="H4" s="9">
        <v>0</v>
      </c>
    </row>
    <row r="5" spans="1:8" x14ac:dyDescent="0.25">
      <c r="A5" t="s">
        <v>10</v>
      </c>
      <c r="B5" s="9">
        <v>40</v>
      </c>
      <c r="C5" s="9">
        <v>2</v>
      </c>
      <c r="D5" s="9">
        <v>2</v>
      </c>
      <c r="E5" s="9">
        <v>1</v>
      </c>
      <c r="F5" s="9">
        <v>0</v>
      </c>
      <c r="G5" s="9">
        <v>0</v>
      </c>
      <c r="H5" s="9">
        <v>0</v>
      </c>
    </row>
    <row r="6" spans="1:8" x14ac:dyDescent="0.25">
      <c r="A6" t="s">
        <v>29</v>
      </c>
      <c r="B6" s="9">
        <v>61</v>
      </c>
      <c r="C6" s="9">
        <v>2</v>
      </c>
      <c r="D6" s="9">
        <v>2</v>
      </c>
      <c r="E6" s="9">
        <v>1</v>
      </c>
      <c r="F6" s="9">
        <v>0</v>
      </c>
      <c r="G6" s="9">
        <v>0</v>
      </c>
      <c r="H6" s="9">
        <v>0</v>
      </c>
    </row>
    <row r="7" spans="1:8" x14ac:dyDescent="0.25">
      <c r="A7" t="s">
        <v>11</v>
      </c>
      <c r="B7" s="9">
        <v>80</v>
      </c>
      <c r="C7" s="9">
        <v>2</v>
      </c>
      <c r="D7" s="9">
        <v>2</v>
      </c>
      <c r="E7" s="9">
        <v>1</v>
      </c>
      <c r="F7" s="9">
        <v>0</v>
      </c>
      <c r="G7" s="9">
        <v>0</v>
      </c>
      <c r="H7" s="9">
        <v>0</v>
      </c>
    </row>
    <row r="8" spans="1:8" x14ac:dyDescent="0.25">
      <c r="A8" t="s">
        <v>30</v>
      </c>
      <c r="B8" s="9">
        <v>55</v>
      </c>
      <c r="C8" s="9">
        <v>2</v>
      </c>
      <c r="D8" s="9">
        <v>2</v>
      </c>
      <c r="E8" s="9">
        <v>1</v>
      </c>
      <c r="F8" s="9">
        <v>0</v>
      </c>
      <c r="G8" s="9">
        <v>0</v>
      </c>
      <c r="H8" s="9">
        <v>0</v>
      </c>
    </row>
    <row r="9" spans="1:8" x14ac:dyDescent="0.25">
      <c r="A9" t="s">
        <v>39</v>
      </c>
      <c r="B9" s="9">
        <v>0</v>
      </c>
      <c r="C9" s="9">
        <v>2</v>
      </c>
      <c r="D9" s="9">
        <v>2</v>
      </c>
      <c r="E9" s="9">
        <v>0</v>
      </c>
      <c r="F9" s="9">
        <v>0</v>
      </c>
      <c r="G9" s="9">
        <v>0</v>
      </c>
      <c r="H9" s="9">
        <v>0</v>
      </c>
    </row>
    <row r="10" spans="1:8" x14ac:dyDescent="0.25">
      <c r="A10" t="s">
        <v>31</v>
      </c>
      <c r="B10" s="9">
        <v>36</v>
      </c>
      <c r="C10" s="9">
        <v>2</v>
      </c>
      <c r="D10" s="9">
        <v>2</v>
      </c>
      <c r="E10" s="9">
        <v>1</v>
      </c>
      <c r="F10" s="9">
        <v>0</v>
      </c>
      <c r="G10" s="9">
        <v>0</v>
      </c>
      <c r="H10" s="9">
        <v>0</v>
      </c>
    </row>
    <row r="11" spans="1:8" x14ac:dyDescent="0.25">
      <c r="A11" t="s">
        <v>40</v>
      </c>
      <c r="B11" s="9">
        <v>0</v>
      </c>
      <c r="C11" s="9">
        <v>2</v>
      </c>
      <c r="D11" s="9">
        <v>2</v>
      </c>
      <c r="E11" s="9">
        <v>0</v>
      </c>
      <c r="F11" s="9">
        <v>0</v>
      </c>
      <c r="G11" s="9">
        <v>0</v>
      </c>
      <c r="H11" s="9">
        <v>0</v>
      </c>
    </row>
    <row r="12" spans="1:8" x14ac:dyDescent="0.25">
      <c r="A12" t="s">
        <v>33</v>
      </c>
      <c r="B12" s="9">
        <v>0</v>
      </c>
      <c r="C12" s="9">
        <v>0</v>
      </c>
      <c r="D12" s="9">
        <v>0</v>
      </c>
      <c r="E12" s="9">
        <v>1</v>
      </c>
      <c r="F12" s="9">
        <v>1</v>
      </c>
      <c r="G12" s="9">
        <v>1</v>
      </c>
      <c r="H12" s="9">
        <v>0</v>
      </c>
    </row>
    <row r="13" spans="1:8" x14ac:dyDescent="0.25">
      <c r="A13" t="s">
        <v>34</v>
      </c>
      <c r="B13" s="9">
        <v>0</v>
      </c>
      <c r="C13" s="9">
        <v>0</v>
      </c>
      <c r="D13" s="9">
        <v>0</v>
      </c>
      <c r="E13" s="9">
        <v>1</v>
      </c>
      <c r="F13" s="9">
        <v>1</v>
      </c>
      <c r="G13" s="9">
        <v>1</v>
      </c>
      <c r="H13" s="9">
        <v>0</v>
      </c>
    </row>
    <row r="14" spans="1:8" x14ac:dyDescent="0.25">
      <c r="A14" t="s">
        <v>21</v>
      </c>
      <c r="B14" s="9">
        <v>34</v>
      </c>
      <c r="C14" s="9">
        <v>2</v>
      </c>
      <c r="D14" s="9">
        <v>2</v>
      </c>
      <c r="E14" s="9">
        <v>1</v>
      </c>
      <c r="F14" s="9">
        <v>0</v>
      </c>
      <c r="G14" s="9">
        <v>0</v>
      </c>
      <c r="H14" s="9">
        <v>5</v>
      </c>
    </row>
    <row r="15" spans="1:8" s="10" customFormat="1" x14ac:dyDescent="0.25">
      <c r="A15" s="12" t="s">
        <v>23</v>
      </c>
      <c r="B15" s="13">
        <f t="shared" ref="B15:H15" si="0">SUM(B3:B14)</f>
        <v>306</v>
      </c>
      <c r="C15" s="13">
        <f t="shared" si="0"/>
        <v>16</v>
      </c>
      <c r="D15" s="13">
        <f t="shared" si="0"/>
        <v>16</v>
      </c>
      <c r="E15" s="13">
        <f t="shared" si="0"/>
        <v>10</v>
      </c>
      <c r="F15" s="13">
        <f t="shared" si="0"/>
        <v>4</v>
      </c>
      <c r="G15" s="13">
        <f t="shared" si="0"/>
        <v>4</v>
      </c>
      <c r="H15" s="13">
        <f t="shared" si="0"/>
        <v>5</v>
      </c>
    </row>
    <row r="16" spans="1:8" x14ac:dyDescent="0.25">
      <c r="A16" s="8" t="s">
        <v>42</v>
      </c>
      <c r="B16" s="15"/>
      <c r="C16" s="15"/>
      <c r="D16" s="15"/>
      <c r="E16" s="15"/>
      <c r="F16" s="15"/>
      <c r="G16" s="15"/>
      <c r="H16" s="15"/>
    </row>
    <row r="17" spans="1:8" x14ac:dyDescent="0.25">
      <c r="A17" s="7" t="s">
        <v>28</v>
      </c>
      <c r="B17" s="16" t="s">
        <v>9</v>
      </c>
      <c r="C17" s="16" t="s">
        <v>13</v>
      </c>
      <c r="D17" s="16" t="s">
        <v>12</v>
      </c>
      <c r="E17" s="16" t="s">
        <v>37</v>
      </c>
      <c r="F17" s="16" t="s">
        <v>38</v>
      </c>
      <c r="G17" s="16" t="s">
        <v>41</v>
      </c>
      <c r="H17" s="16" t="s">
        <v>46</v>
      </c>
    </row>
    <row r="18" spans="1:8" x14ac:dyDescent="0.25">
      <c r="A18" t="s">
        <v>43</v>
      </c>
      <c r="B18" s="9">
        <v>0</v>
      </c>
      <c r="C18" s="9">
        <v>0</v>
      </c>
      <c r="D18" s="9">
        <v>0</v>
      </c>
      <c r="E18" s="9">
        <v>1</v>
      </c>
      <c r="F18" s="9">
        <v>1</v>
      </c>
      <c r="G18" s="9">
        <v>1</v>
      </c>
      <c r="H18" s="9">
        <v>0</v>
      </c>
    </row>
    <row r="19" spans="1:8" x14ac:dyDescent="0.25">
      <c r="A19" t="s">
        <v>17</v>
      </c>
      <c r="B19" s="9">
        <v>0</v>
      </c>
      <c r="C19" s="9">
        <v>0</v>
      </c>
      <c r="D19" s="9">
        <v>0</v>
      </c>
      <c r="E19" s="9">
        <v>1</v>
      </c>
      <c r="F19" s="9">
        <v>1</v>
      </c>
      <c r="G19" s="9">
        <v>1</v>
      </c>
      <c r="H19" s="9">
        <v>0</v>
      </c>
    </row>
    <row r="20" spans="1:8" x14ac:dyDescent="0.25">
      <c r="A20" t="s">
        <v>16</v>
      </c>
      <c r="B20" s="9">
        <v>57</v>
      </c>
      <c r="C20" s="9">
        <v>2</v>
      </c>
      <c r="D20" s="9">
        <v>2</v>
      </c>
      <c r="E20" s="9">
        <v>1</v>
      </c>
      <c r="F20" s="9">
        <v>0</v>
      </c>
      <c r="G20" s="9">
        <v>0</v>
      </c>
      <c r="H20" s="9">
        <v>0</v>
      </c>
    </row>
    <row r="21" spans="1:8" x14ac:dyDescent="0.25">
      <c r="A21" t="s">
        <v>15</v>
      </c>
      <c r="B21" s="9">
        <v>37</v>
      </c>
      <c r="C21" s="9">
        <v>2</v>
      </c>
      <c r="D21" s="9">
        <v>2</v>
      </c>
      <c r="E21" s="9">
        <v>1</v>
      </c>
      <c r="F21" s="9">
        <v>0</v>
      </c>
      <c r="G21" s="9">
        <v>0</v>
      </c>
      <c r="H21" s="9">
        <v>0</v>
      </c>
    </row>
    <row r="22" spans="1:8" x14ac:dyDescent="0.25">
      <c r="A22" t="s">
        <v>14</v>
      </c>
      <c r="B22" s="9">
        <v>39</v>
      </c>
      <c r="C22" s="9">
        <v>2</v>
      </c>
      <c r="D22" s="9">
        <v>2</v>
      </c>
      <c r="E22" s="9">
        <v>1</v>
      </c>
      <c r="F22" s="9">
        <v>0</v>
      </c>
      <c r="G22" s="9">
        <v>0</v>
      </c>
      <c r="H22" s="9">
        <v>0</v>
      </c>
    </row>
    <row r="23" spans="1:8" x14ac:dyDescent="0.25">
      <c r="A23" t="s">
        <v>44</v>
      </c>
      <c r="B23" s="9">
        <v>32</v>
      </c>
      <c r="C23" s="9">
        <v>2</v>
      </c>
      <c r="D23" s="9">
        <v>2</v>
      </c>
      <c r="E23" s="9">
        <v>1</v>
      </c>
      <c r="F23" s="9">
        <v>0</v>
      </c>
      <c r="G23" s="9">
        <v>0</v>
      </c>
      <c r="H23" s="9">
        <v>0</v>
      </c>
    </row>
    <row r="24" spans="1:8" x14ac:dyDescent="0.25">
      <c r="A24" t="s">
        <v>18</v>
      </c>
      <c r="B24" s="9">
        <v>56</v>
      </c>
      <c r="C24" s="9">
        <v>2</v>
      </c>
      <c r="D24" s="9">
        <v>2</v>
      </c>
      <c r="E24" s="9">
        <v>1</v>
      </c>
      <c r="F24" s="9">
        <v>0</v>
      </c>
      <c r="G24" s="9">
        <v>0</v>
      </c>
      <c r="H24" s="9">
        <v>0</v>
      </c>
    </row>
    <row r="25" spans="1:8" x14ac:dyDescent="0.25">
      <c r="A25" t="s">
        <v>19</v>
      </c>
      <c r="B25" s="9">
        <v>42</v>
      </c>
      <c r="C25" s="9">
        <v>2</v>
      </c>
      <c r="D25" s="9">
        <v>2</v>
      </c>
      <c r="E25" s="9">
        <v>1</v>
      </c>
      <c r="F25" s="9">
        <v>0</v>
      </c>
      <c r="G25" s="9">
        <v>0</v>
      </c>
      <c r="H25" s="9">
        <v>0</v>
      </c>
    </row>
    <row r="26" spans="1:8" x14ac:dyDescent="0.25">
      <c r="A26" t="s">
        <v>20</v>
      </c>
      <c r="B26" s="9">
        <v>30</v>
      </c>
      <c r="C26" s="9">
        <v>2</v>
      </c>
      <c r="D26" s="9">
        <v>2</v>
      </c>
      <c r="E26" s="9">
        <v>1</v>
      </c>
      <c r="F26" s="9">
        <v>0</v>
      </c>
      <c r="G26" s="9">
        <v>0</v>
      </c>
      <c r="H26" s="9">
        <v>0</v>
      </c>
    </row>
    <row r="27" spans="1:8" x14ac:dyDescent="0.25">
      <c r="A27" t="s">
        <v>45</v>
      </c>
      <c r="B27" s="9">
        <v>0</v>
      </c>
      <c r="C27" s="9">
        <v>0</v>
      </c>
      <c r="D27" s="9">
        <v>0</v>
      </c>
      <c r="E27" s="9">
        <v>1</v>
      </c>
      <c r="F27" s="9">
        <v>1</v>
      </c>
      <c r="G27" s="9">
        <v>1</v>
      </c>
      <c r="H27" s="9">
        <v>0</v>
      </c>
    </row>
    <row r="28" spans="1:8" x14ac:dyDescent="0.25">
      <c r="A28" t="s">
        <v>22</v>
      </c>
      <c r="B28" s="9">
        <v>76</v>
      </c>
      <c r="C28" s="9">
        <v>2</v>
      </c>
      <c r="D28" s="9">
        <v>2</v>
      </c>
      <c r="E28" s="9">
        <v>1</v>
      </c>
      <c r="F28" s="9">
        <v>0</v>
      </c>
      <c r="G28" s="9">
        <v>0</v>
      </c>
      <c r="H28" s="9">
        <v>5</v>
      </c>
    </row>
    <row r="29" spans="1:8" s="10" customFormat="1" x14ac:dyDescent="0.25">
      <c r="A29" s="12" t="s">
        <v>23</v>
      </c>
      <c r="B29" s="13">
        <f>SUM(B18:B28)</f>
        <v>369</v>
      </c>
      <c r="C29" s="13">
        <f>SUM(C18:C28)</f>
        <v>16</v>
      </c>
      <c r="D29" s="13">
        <f>SUM(D18:D28)</f>
        <v>16</v>
      </c>
      <c r="E29" s="13">
        <f>SUM(E18:E28)</f>
        <v>11</v>
      </c>
      <c r="F29" s="13">
        <f>SUM(F18:F28)</f>
        <v>3</v>
      </c>
      <c r="G29" s="13">
        <f>SUM(G18:G28)</f>
        <v>3</v>
      </c>
      <c r="H29" s="13">
        <f t="shared" ref="H29" si="1">SUM(H17:H28)</f>
        <v>5</v>
      </c>
    </row>
    <row r="30" spans="1:8" x14ac:dyDescent="0.25">
      <c r="A30" s="20" t="s">
        <v>47</v>
      </c>
      <c r="B30" s="21">
        <f>B29+B15</f>
        <v>675</v>
      </c>
      <c r="C30" s="21">
        <f>C29+C15</f>
        <v>32</v>
      </c>
      <c r="D30" s="21">
        <f>D29+D15</f>
        <v>32</v>
      </c>
      <c r="E30" s="21">
        <f>E29+E15</f>
        <v>21</v>
      </c>
      <c r="F30" s="21">
        <f>F29+F15</f>
        <v>7</v>
      </c>
      <c r="G30" s="21">
        <f>G29+G15</f>
        <v>7</v>
      </c>
      <c r="H30" s="17">
        <f>H29+H15</f>
        <v>10</v>
      </c>
    </row>
    <row r="31" spans="1:8" x14ac:dyDescent="0.25">
      <c r="A31" s="23"/>
      <c r="B31" s="22"/>
      <c r="C31" s="22"/>
      <c r="D31" s="22"/>
      <c r="E31" s="22"/>
      <c r="F31" s="22"/>
      <c r="G31" s="23"/>
    </row>
    <row r="32" spans="1:8" x14ac:dyDescent="0.25">
      <c r="A32" s="23"/>
      <c r="B32" s="22"/>
      <c r="C32" s="22"/>
      <c r="D32" s="22"/>
      <c r="E32" s="22"/>
      <c r="F32" s="22"/>
      <c r="G32" s="23"/>
    </row>
    <row r="33" spans="1:7" x14ac:dyDescent="0.25">
      <c r="A33" s="23"/>
      <c r="B33" s="22"/>
      <c r="C33" s="22"/>
      <c r="D33" s="22"/>
      <c r="E33" s="22"/>
      <c r="F33" s="22"/>
      <c r="G33" s="23"/>
    </row>
    <row r="34" spans="1:7" x14ac:dyDescent="0.25">
      <c r="A34" s="23"/>
      <c r="B34" s="22"/>
      <c r="C34" s="22"/>
      <c r="D34" s="22"/>
      <c r="E34" s="22"/>
      <c r="F34" s="22"/>
      <c r="G34" s="23"/>
    </row>
    <row r="35" spans="1:7" x14ac:dyDescent="0.25">
      <c r="A35" s="23"/>
      <c r="B35" s="22"/>
      <c r="C35" s="22"/>
      <c r="D35" s="22"/>
      <c r="E35" s="22"/>
      <c r="F35" s="22"/>
      <c r="G35" s="23"/>
    </row>
    <row r="36" spans="1:7" x14ac:dyDescent="0.25">
      <c r="A36" s="23"/>
      <c r="B36" s="22"/>
      <c r="C36" s="22"/>
      <c r="D36" s="22"/>
      <c r="E36" s="22"/>
      <c r="F36" s="22"/>
      <c r="G36" s="23"/>
    </row>
    <row r="37" spans="1:7" x14ac:dyDescent="0.25">
      <c r="A37" s="23"/>
      <c r="B37" s="22"/>
      <c r="C37" s="22"/>
      <c r="D37" s="22"/>
      <c r="E37" s="22"/>
      <c r="F37" s="22"/>
      <c r="G37" s="23"/>
    </row>
    <row r="38" spans="1:7" x14ac:dyDescent="0.25">
      <c r="A38" s="23"/>
      <c r="B38" s="22"/>
      <c r="C38" s="22"/>
      <c r="D38" s="22"/>
      <c r="E38" s="22"/>
      <c r="F38" s="22"/>
      <c r="G38" s="23"/>
    </row>
    <row r="39" spans="1:7" s="10" customFormat="1" x14ac:dyDescent="0.25">
      <c r="A39" s="19"/>
      <c r="B39" s="18"/>
      <c r="C39" s="18"/>
      <c r="D39" s="18"/>
      <c r="E39" s="18"/>
      <c r="F39" s="18"/>
      <c r="G39" s="19"/>
    </row>
    <row r="40" spans="1:7" x14ac:dyDescent="0.25">
      <c r="A40" s="23"/>
      <c r="B40" s="22"/>
      <c r="C40" s="22"/>
      <c r="D40" s="22"/>
      <c r="E40" s="22"/>
      <c r="F40" s="22"/>
      <c r="G40" s="23"/>
    </row>
    <row r="41" spans="1:7" x14ac:dyDescent="0.25">
      <c r="A41" s="23"/>
      <c r="B41" s="22"/>
      <c r="C41" s="22"/>
      <c r="D41" s="22"/>
      <c r="E41" s="22"/>
      <c r="F41" s="22"/>
      <c r="G41" s="23"/>
    </row>
    <row r="42" spans="1:7" x14ac:dyDescent="0.25">
      <c r="A42" s="23"/>
      <c r="B42" s="22"/>
      <c r="C42" s="22"/>
      <c r="D42" s="22"/>
      <c r="E42" s="22"/>
      <c r="F42" s="22"/>
      <c r="G42" s="23"/>
    </row>
    <row r="43" spans="1:7" x14ac:dyDescent="0.25">
      <c r="A43" s="23"/>
      <c r="B43" s="22"/>
      <c r="C43" s="22"/>
      <c r="D43" s="22"/>
      <c r="E43" s="22"/>
      <c r="F43" s="22"/>
      <c r="G43" s="23"/>
    </row>
    <row r="44" spans="1:7" x14ac:dyDescent="0.25">
      <c r="A44" s="24"/>
      <c r="B44" s="25"/>
      <c r="C44" s="25"/>
      <c r="D44" s="25"/>
      <c r="E44" s="25"/>
      <c r="F44" s="22"/>
      <c r="G44" s="23"/>
    </row>
    <row r="45" spans="1:7" x14ac:dyDescent="0.25">
      <c r="A45" s="11"/>
      <c r="B45" s="17"/>
      <c r="C45" s="17"/>
      <c r="D45" s="17"/>
      <c r="E45" s="17"/>
    </row>
    <row r="46" spans="1:7" x14ac:dyDescent="0.25">
      <c r="A46" s="11"/>
      <c r="B46" s="17"/>
      <c r="C46" s="17"/>
      <c r="D46" s="17"/>
      <c r="E46" s="17"/>
    </row>
    <row r="47" spans="1:7" x14ac:dyDescent="0.25">
      <c r="A47" s="11"/>
      <c r="B47" s="17"/>
      <c r="C47" s="17"/>
      <c r="D47" s="17"/>
      <c r="E47" s="17"/>
    </row>
    <row r="48" spans="1:7" x14ac:dyDescent="0.25">
      <c r="A48" s="11"/>
      <c r="B48" s="17"/>
      <c r="C48" s="17"/>
      <c r="D48" s="17"/>
      <c r="E48" s="17"/>
    </row>
    <row r="49" spans="1:5" x14ac:dyDescent="0.25">
      <c r="A49" s="11"/>
      <c r="B49" s="17"/>
      <c r="C49" s="17"/>
      <c r="D49" s="17"/>
      <c r="E49" s="17"/>
    </row>
    <row r="50" spans="1:5" x14ac:dyDescent="0.25">
      <c r="A50" s="11"/>
      <c r="B50" s="17"/>
      <c r="C50" s="17"/>
      <c r="D50" s="17"/>
      <c r="E50" s="17"/>
    </row>
    <row r="51" spans="1:5" x14ac:dyDescent="0.25">
      <c r="A51" s="11"/>
      <c r="B51" s="17"/>
      <c r="C51" s="17"/>
      <c r="D51" s="17"/>
      <c r="E51" s="17"/>
    </row>
    <row r="52" spans="1:5" x14ac:dyDescent="0.25">
      <c r="A52" s="11"/>
      <c r="B52" s="17"/>
      <c r="C52" s="17"/>
      <c r="D52" s="17"/>
      <c r="E52" s="17"/>
    </row>
    <row r="53" spans="1:5" x14ac:dyDescent="0.25">
      <c r="A53" s="11"/>
      <c r="B53" s="17"/>
      <c r="C53" s="17"/>
      <c r="D53" s="17"/>
      <c r="E53" s="17"/>
    </row>
    <row r="54" spans="1:5" x14ac:dyDescent="0.25">
      <c r="A54" s="11"/>
      <c r="B54" s="17"/>
      <c r="C54" s="17"/>
      <c r="D54" s="17"/>
      <c r="E54" s="17"/>
    </row>
    <row r="55" spans="1:5" x14ac:dyDescent="0.25">
      <c r="A55" s="11"/>
      <c r="B55" s="17"/>
      <c r="C55" s="17"/>
      <c r="D55" s="17"/>
      <c r="E55" s="17"/>
    </row>
    <row r="56" spans="1:5" x14ac:dyDescent="0.25">
      <c r="A56" s="11"/>
      <c r="B56" s="17"/>
      <c r="C56" s="17"/>
      <c r="D56" s="17"/>
      <c r="E56" s="17"/>
    </row>
    <row r="57" spans="1:5" x14ac:dyDescent="0.25">
      <c r="A57" s="11"/>
      <c r="B57" s="17"/>
      <c r="C57" s="17"/>
      <c r="D57" s="17"/>
      <c r="E57" s="17"/>
    </row>
    <row r="58" spans="1:5" x14ac:dyDescent="0.25">
      <c r="A58" s="11"/>
      <c r="B58" s="17"/>
      <c r="C58" s="17"/>
      <c r="D58" s="17"/>
      <c r="E58" s="1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</vt:lpstr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2018-09-26T06:32:51Z</dcterms:created>
  <dcterms:modified xsi:type="dcterms:W3CDTF">2019-01-30T14:55:00Z</dcterms:modified>
</cp:coreProperties>
</file>