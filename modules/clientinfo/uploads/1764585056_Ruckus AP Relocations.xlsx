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bert\Documents\SAUTECH\CLIENTS\4 RHS\"/>
    </mc:Choice>
  </mc:AlternateContent>
  <bookViews>
    <workbookView xWindow="0" yWindow="0" windowWidth="20490" windowHeight="7650" activeTab="1"/>
  </bookViews>
  <sheets>
    <sheet name="QUOTE" sheetId="1" r:id="rId1"/>
    <sheet name="MATERIALS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G28" i="2"/>
  <c r="G38" i="2"/>
  <c r="G56" i="2"/>
  <c r="G57" i="2"/>
  <c r="F13" i="2"/>
  <c r="F28" i="2"/>
  <c r="F38" i="2"/>
  <c r="F56" i="2"/>
  <c r="F57" i="2"/>
  <c r="E13" i="2"/>
  <c r="E28" i="2"/>
  <c r="E38" i="2"/>
  <c r="E56" i="2"/>
  <c r="E57" i="2"/>
  <c r="D13" i="2"/>
  <c r="D28" i="2"/>
  <c r="D38" i="2"/>
  <c r="D56" i="2"/>
  <c r="D57" i="2"/>
  <c r="C13" i="2"/>
  <c r="C28" i="2"/>
  <c r="C38" i="2"/>
  <c r="C56" i="2"/>
  <c r="C57" i="2"/>
  <c r="B13" i="2"/>
  <c r="B28" i="2"/>
  <c r="B38" i="2"/>
  <c r="B56" i="2"/>
  <c r="B57" i="2"/>
  <c r="F4" i="1"/>
  <c r="G4" i="1"/>
  <c r="H4" i="1"/>
  <c r="F6" i="1"/>
  <c r="G6" i="1"/>
  <c r="H6" i="1"/>
  <c r="F8" i="1"/>
  <c r="G8" i="1"/>
  <c r="H8" i="1"/>
  <c r="F10" i="1"/>
  <c r="G10" i="1"/>
  <c r="H10" i="1"/>
  <c r="F12" i="1"/>
  <c r="G12" i="1"/>
  <c r="H12" i="1"/>
  <c r="F14" i="1"/>
  <c r="G14" i="1"/>
  <c r="H14" i="1"/>
  <c r="F16" i="1"/>
  <c r="G16" i="1"/>
  <c r="H16" i="1"/>
  <c r="F18" i="1"/>
  <c r="G18" i="1"/>
  <c r="H18" i="1"/>
  <c r="F2" i="1"/>
  <c r="G2" i="1"/>
  <c r="H2" i="1"/>
</calcChain>
</file>

<file path=xl/sharedStrings.xml><?xml version="1.0" encoding="utf-8"?>
<sst xmlns="http://schemas.openxmlformats.org/spreadsheetml/2006/main" count="107" uniqueCount="75">
  <si>
    <t>DESCRIPTION</t>
  </si>
  <si>
    <t>UNIT</t>
  </si>
  <si>
    <t>QTY</t>
  </si>
  <si>
    <t>PRICE</t>
  </si>
  <si>
    <t>TOTAL EXCL</t>
  </si>
  <si>
    <t>EA</t>
  </si>
  <si>
    <t>SUPPLIER</t>
  </si>
  <si>
    <t>TOTAL INCL</t>
  </si>
  <si>
    <t>TAX @ 15%</t>
  </si>
  <si>
    <t>CLASS ROOM:</t>
  </si>
  <si>
    <t>CAT5 CABLE</t>
  </si>
  <si>
    <t>CAT5 WALLBOX</t>
  </si>
  <si>
    <t>16X16 PVC TRUNKING</t>
  </si>
  <si>
    <t>NAILS</t>
  </si>
  <si>
    <t>C1</t>
  </si>
  <si>
    <t>C2</t>
  </si>
  <si>
    <t>C3</t>
  </si>
  <si>
    <t>C4</t>
  </si>
  <si>
    <t>C5</t>
  </si>
  <si>
    <t>C6</t>
  </si>
  <si>
    <t>C8</t>
  </si>
  <si>
    <t>C9</t>
  </si>
  <si>
    <t>C10</t>
  </si>
  <si>
    <t>RJ45 BOOTS</t>
  </si>
  <si>
    <t>RJ45 JACKS</t>
  </si>
  <si>
    <t>C7  Cable existing, no AP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</si>
  <si>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</si>
  <si>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</si>
  <si>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</si>
  <si>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</si>
  <si>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</si>
  <si>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</si>
  <si>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</si>
  <si>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</si>
  <si>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</si>
  <si>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</si>
  <si>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ROOM 40</t>
  </si>
  <si>
    <t>C41</t>
  </si>
  <si>
    <t>C21</t>
  </si>
  <si>
    <t>C22</t>
  </si>
  <si>
    <t>C23</t>
  </si>
  <si>
    <t>C24</t>
  </si>
  <si>
    <t>C25</t>
  </si>
  <si>
    <t>C26</t>
  </si>
  <si>
    <t>RHS AP RELOCATIONS GROUND FLOOR A</t>
  </si>
  <si>
    <t>RHS AP RELOCATIONS 1ST FLOOR A</t>
  </si>
  <si>
    <t>RHS AP RELOCATIONS 2ND FLOOR A</t>
  </si>
  <si>
    <t>C29</t>
  </si>
  <si>
    <t>RHS AP RELOCATIONS GROUND, 1ST, 2ND FL B</t>
  </si>
  <si>
    <t>C30</t>
  </si>
  <si>
    <t>C31</t>
  </si>
  <si>
    <t>C32</t>
  </si>
  <si>
    <t>C33</t>
  </si>
  <si>
    <t>C34</t>
  </si>
  <si>
    <t>C35</t>
  </si>
  <si>
    <t>C36</t>
  </si>
  <si>
    <t>C43</t>
  </si>
  <si>
    <t>C46</t>
  </si>
  <si>
    <t>HERMANUS LANE</t>
  </si>
  <si>
    <t>C47</t>
  </si>
  <si>
    <t>C48</t>
  </si>
  <si>
    <t>C49</t>
  </si>
  <si>
    <t>C50</t>
  </si>
  <si>
    <t>TOTAL</t>
  </si>
  <si>
    <t>C27 Jerome's classs</t>
  </si>
  <si>
    <t>GRAND TOTAL</t>
  </si>
  <si>
    <t>CAT5 WALL BOXES</t>
  </si>
  <si>
    <t>16x16 PVC TRUNKING</t>
  </si>
  <si>
    <t>CAT5E CABLE</t>
  </si>
  <si>
    <t>CAT5 RJ45 BOOTS</t>
  </si>
  <si>
    <t>CAT5 RJ45 CONNECTORS</t>
  </si>
  <si>
    <t>CONSUMABLES</t>
  </si>
  <si>
    <t>10MM X 300MM CONCRETE DRILL BIT</t>
  </si>
  <si>
    <t>LABOUR TO INSTALL TRUNKING</t>
  </si>
  <si>
    <t xml:space="preserve">TRAVELING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</si>
</sst>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-1C09]* #,##0.00_-;\-[$R-1C09]* #,##0.00_-;_-[$R-1C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0" fillId="0" borderId="0" xfId="1" applyNumberFormat="1" applyFont="1"/>
    <xf numFmtId="164" fontId="0" fillId="2" borderId="0" xfId="0" applyNumberFormat="1" applyFill="1"/>
    <xf numFmtId="164" fontId="0" fillId="0" borderId="0" xfId="0" applyNumberFormat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K13" sqref="K13"/>
    </sheetView>
  </sheetViews>
  <sheetFormatPr defaultRowHeight="15" x14ac:dyDescent="0.25"/>
  <cols>
    <col min="2" max="2" width="56.28515625" bestFit="1" customWidth="1"/>
    <col min="3" max="3" width="5.28515625" bestFit="1" customWidth="1"/>
    <col min="4" max="4" width="4.42578125" bestFit="1" customWidth="1"/>
    <col min="5" max="5" width="10.5703125" style="4" bestFit="1" customWidth="1"/>
    <col min="6" max="6" width="12.5703125" style="4" bestFit="1" customWidth="1"/>
    <col min="7" max="7" width="12.140625" style="6" bestFit="1" customWidth="1"/>
    <col min="8" max="8" width="12.42578125" style="6" bestFit="1" customWidth="1"/>
  </cols>
  <sheetData>
    <row r="1" spans="1:8" x14ac:dyDescent="0.25">
      <c r="A1" s="1" t="s">
        <v>6</v>
      </c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5" t="s">
        <v>8</v>
      </c>
      <c r="H1" s="5" t="s">
        <v>7</v>
      </c>
    </row>
    <row r="2" spans="1:8" x14ac:dyDescent="0.25">
      <c r="B2" t="s">
        <v>68</v>
      </c>
      <c r="C2" t="s">
        <v>5</v>
      </c>
      <c r="D2">
        <v>275</v>
      </c>
      <c r="E2" s="4">
        <v>25</v>
      </c>
      <c r="F2" s="4">
        <f>D2*E2</f>
        <v>6875</v>
      </c>
      <c r="G2" s="6">
        <f>F2*0.15</f>
        <v>1031.25</v>
      </c>
      <c r="H2" s="6">
        <f>F2+G2</f>
        <v>7906.25</v>
      </c>
    </row>
    <row r="4" spans="1:8" x14ac:dyDescent="0.25">
      <c r="B4" t="s">
        <v>69</v>
      </c>
      <c r="C4" t="s">
        <v>5</v>
      </c>
      <c r="D4">
        <v>46</v>
      </c>
      <c r="E4" s="4">
        <v>0</v>
      </c>
      <c r="F4" s="4">
        <f t="shared" ref="F4:F28" si="0">D4*E4</f>
        <v>0</v>
      </c>
      <c r="G4" s="6">
        <f t="shared" ref="G4:G28" si="1">F4*0.15</f>
        <v>0</v>
      </c>
      <c r="H4" s="6">
        <f t="shared" ref="H4:H28" si="2">F4+G4</f>
        <v>0</v>
      </c>
    </row>
    <row r="6" spans="1:8" x14ac:dyDescent="0.25">
      <c r="B6" t="s">
        <v>70</v>
      </c>
      <c r="C6" t="s">
        <v>5</v>
      </c>
      <c r="D6">
        <v>46</v>
      </c>
      <c r="E6" s="4">
        <v>0</v>
      </c>
      <c r="F6" s="4">
        <f t="shared" si="0"/>
        <v>0</v>
      </c>
      <c r="G6" s="6">
        <f t="shared" si="1"/>
        <v>0</v>
      </c>
      <c r="H6" s="6">
        <f t="shared" si="2"/>
        <v>0</v>
      </c>
    </row>
    <row r="8" spans="1:8" x14ac:dyDescent="0.25">
      <c r="B8" t="s">
        <v>66</v>
      </c>
      <c r="C8" t="s">
        <v>5</v>
      </c>
      <c r="D8">
        <v>23</v>
      </c>
      <c r="E8" s="4">
        <v>0</v>
      </c>
      <c r="F8" s="4">
        <f t="shared" si="0"/>
        <v>0</v>
      </c>
      <c r="G8" s="6">
        <f t="shared" si="1"/>
        <v>0</v>
      </c>
      <c r="H8" s="6">
        <f t="shared" si="2"/>
        <v>0</v>
      </c>
    </row>
    <row r="10" spans="1:8" x14ac:dyDescent="0.25">
      <c r="B10" t="s">
        <v>67</v>
      </c>
      <c r="C10" t="s">
        <v>5</v>
      </c>
      <c r="D10">
        <v>50</v>
      </c>
      <c r="E10" s="4">
        <v>0</v>
      </c>
      <c r="F10" s="4">
        <f t="shared" si="0"/>
        <v>0</v>
      </c>
      <c r="G10" s="6">
        <f t="shared" si="1"/>
        <v>0</v>
      </c>
      <c r="H10" s="6">
        <f t="shared" si="2"/>
        <v>0</v>
      </c>
    </row>
    <row r="12" spans="1:8" x14ac:dyDescent="0.25">
      <c r="B12" t="s">
        <v>72</v>
      </c>
      <c r="C12" t="s">
        <v>5</v>
      </c>
      <c r="D12">
        <v>1</v>
      </c>
      <c r="E12" s="4">
        <v>0</v>
      </c>
      <c r="F12" s="4">
        <f t="shared" si="0"/>
        <v>0</v>
      </c>
      <c r="G12" s="6">
        <f t="shared" si="1"/>
        <v>0</v>
      </c>
      <c r="H12" s="6">
        <f t="shared" si="2"/>
        <v>0</v>
      </c>
    </row>
    <row r="14" spans="1:8" x14ac:dyDescent="0.25">
      <c r="B14" t="s">
        <v>71</v>
      </c>
      <c r="C14" t="s">
        <v>5</v>
      </c>
      <c r="D14">
        <v>1</v>
      </c>
      <c r="E14" s="4">
        <v>600</v>
      </c>
      <c r="F14" s="4">
        <f t="shared" si="0"/>
        <v>600</v>
      </c>
      <c r="G14" s="6">
        <f t="shared" si="1"/>
        <v>90</v>
      </c>
      <c r="H14" s="6">
        <f t="shared" si="2"/>
        <v>690</v>
      </c>
    </row>
    <row r="16" spans="1:8" x14ac:dyDescent="0.25">
      <c r="B16" t="s">
        <v>73</v>
      </c>
      <c r="C16" t="s">
        <v>5</v>
      </c>
      <c r="D16">
        <v>8</v>
      </c>
      <c r="E16" s="4">
        <v>395</v>
      </c>
      <c r="F16" s="4">
        <f t="shared" si="0"/>
        <v>3160</v>
      </c>
      <c r="G16" s="6">
        <f t="shared" si="1"/>
        <v>474</v>
      </c>
      <c r="H16" s="6">
        <f t="shared" si="2"/>
        <v>3634</v>
      </c>
    </row>
    <row r="18" spans="2:8" x14ac:dyDescent="0.25">
      <c r="B18" t="s">
        <v>74</v>
      </c>
      <c r="C18" t="s">
        <v>5</v>
      </c>
      <c r="D18">
        <v>5</v>
      </c>
      <c r="E18" s="4">
        <v>195</v>
      </c>
      <c r="F18" s="4">
        <f t="shared" si="0"/>
        <v>975</v>
      </c>
      <c r="G18" s="6">
        <f t="shared" si="1"/>
        <v>146.25</v>
      </c>
      <c r="H18" s="6">
        <f t="shared" si="2"/>
        <v>1121.25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workbookViewId="0">
      <selection activeCell="A10" sqref="A10"/>
    </sheetView>
  </sheetViews>
  <sheetFormatPr defaultRowHeight="15" x14ac:dyDescent="0.25"/>
  <cols>
    <col min="1" max="1" width="42.28515625" bestFit="1" customWidth="1"/>
    <col min="2" max="2" width="11.28515625" bestFit="1" customWidth="1"/>
    <col min="3" max="3" width="14.5703125" bestFit="1" customWidth="1"/>
    <col min="4" max="4" width="20.140625" bestFit="1" customWidth="1"/>
    <col min="5" max="5" width="10.5703125" bestFit="1" customWidth="1"/>
    <col min="6" max="6" width="11.28515625" bestFit="1" customWidth="1"/>
  </cols>
  <sheetData>
    <row r="1" spans="1:7" x14ac:dyDescent="0.25">
      <c r="A1" s="8" t="s">
        <v>44</v>
      </c>
      <c r="B1" s="9"/>
      <c r="C1" s="9"/>
      <c r="D1" s="9"/>
      <c r="E1" s="9"/>
      <c r="F1" s="9"/>
      <c r="G1" s="9"/>
    </row>
    <row r="2" spans="1:7" x14ac:dyDescent="0.25">
      <c r="A2" s="7" t="s">
        <v>9</v>
      </c>
      <c r="B2" s="7" t="s">
        <v>10</v>
      </c>
      <c r="C2" s="7" t="s">
        <v>11</v>
      </c>
      <c r="D2" s="7" t="s">
        <v>12</v>
      </c>
      <c r="E2" s="7" t="s">
        <v>24</v>
      </c>
      <c r="F2" s="7" t="s">
        <v>23</v>
      </c>
      <c r="G2" s="7" t="s">
        <v>13</v>
      </c>
    </row>
    <row r="3" spans="1:7" x14ac:dyDescent="0.25">
      <c r="A3" t="s">
        <v>14</v>
      </c>
      <c r="B3" s="10">
        <v>10</v>
      </c>
      <c r="C3" s="10">
        <v>1</v>
      </c>
      <c r="D3" s="10">
        <v>3</v>
      </c>
      <c r="E3" s="10">
        <v>2</v>
      </c>
      <c r="F3" s="10">
        <v>2</v>
      </c>
      <c r="G3" s="10">
        <v>6</v>
      </c>
    </row>
    <row r="4" spans="1:7" x14ac:dyDescent="0.25">
      <c r="A4" t="s">
        <v>15</v>
      </c>
      <c r="B4" s="10">
        <v>15</v>
      </c>
      <c r="C4" s="10">
        <v>1</v>
      </c>
      <c r="D4" s="10">
        <v>3</v>
      </c>
      <c r="E4" s="10">
        <v>2</v>
      </c>
      <c r="F4" s="10">
        <v>2</v>
      </c>
      <c r="G4" s="10">
        <v>6</v>
      </c>
    </row>
    <row r="5" spans="1:7" x14ac:dyDescent="0.25">
      <c r="A5" t="s">
        <v>16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7" x14ac:dyDescent="0.25">
      <c r="A6" t="s">
        <v>17</v>
      </c>
      <c r="B6" s="10">
        <v>10</v>
      </c>
      <c r="C6" s="10">
        <v>1</v>
      </c>
      <c r="D6" s="10">
        <v>3</v>
      </c>
      <c r="E6" s="10">
        <v>2</v>
      </c>
      <c r="F6" s="10">
        <v>2</v>
      </c>
      <c r="G6" s="10">
        <v>6</v>
      </c>
    </row>
    <row r="7" spans="1:7" x14ac:dyDescent="0.25">
      <c r="A7" t="s">
        <v>18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</row>
    <row r="8" spans="1:7" x14ac:dyDescent="0.25">
      <c r="A8" t="s">
        <v>19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x14ac:dyDescent="0.25">
      <c r="A9" t="s">
        <v>25</v>
      </c>
      <c r="B9" s="10">
        <v>10</v>
      </c>
      <c r="C9" s="10">
        <v>1</v>
      </c>
      <c r="D9" s="10">
        <v>3</v>
      </c>
      <c r="E9" s="10">
        <v>2</v>
      </c>
      <c r="F9" s="10">
        <v>2</v>
      </c>
      <c r="G9" s="10">
        <v>6</v>
      </c>
    </row>
    <row r="10" spans="1:7" x14ac:dyDescent="0.25">
      <c r="A10" t="s">
        <v>20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x14ac:dyDescent="0.25">
      <c r="A11" t="s">
        <v>21</v>
      </c>
      <c r="B11" s="10">
        <v>15</v>
      </c>
      <c r="C11" s="10">
        <v>1</v>
      </c>
      <c r="D11" s="10">
        <v>4</v>
      </c>
      <c r="E11" s="10">
        <v>2</v>
      </c>
      <c r="F11" s="10">
        <v>2</v>
      </c>
      <c r="G11" s="10">
        <v>8</v>
      </c>
    </row>
    <row r="12" spans="1:7" x14ac:dyDescent="0.25">
      <c r="A12" t="s">
        <v>22</v>
      </c>
      <c r="B12" s="10">
        <v>10</v>
      </c>
      <c r="C12" s="10">
        <v>1</v>
      </c>
      <c r="D12" s="10">
        <v>3</v>
      </c>
      <c r="E12" s="10">
        <v>2</v>
      </c>
      <c r="F12" s="10">
        <v>2</v>
      </c>
      <c r="G12" s="10">
        <v>6</v>
      </c>
    </row>
    <row r="13" spans="1:7" s="11" customFormat="1" x14ac:dyDescent="0.25">
      <c r="A13" s="13" t="s">
        <v>63</v>
      </c>
      <c r="B13" s="14">
        <f>SUM(B3:B12)</f>
        <v>70</v>
      </c>
      <c r="C13" s="14">
        <f>SUM(C3:C12)</f>
        <v>6</v>
      </c>
      <c r="D13" s="14">
        <f>SUM(D3:D12)</f>
        <v>19</v>
      </c>
      <c r="E13" s="14">
        <f>SUM(E3:E12)</f>
        <v>12</v>
      </c>
      <c r="F13" s="14">
        <f>SUM(F3:F12)</f>
        <v>12</v>
      </c>
      <c r="G13" s="14">
        <f>SUM(G3:G12)</f>
        <v>38</v>
      </c>
    </row>
    <row r="14" spans="1:7" x14ac:dyDescent="0.25">
      <c r="A14" s="8" t="s">
        <v>45</v>
      </c>
      <c r="B14" s="9"/>
      <c r="C14" s="9"/>
      <c r="D14" s="9"/>
      <c r="E14" s="9"/>
      <c r="F14" s="9"/>
      <c r="G14" s="9"/>
    </row>
    <row r="15" spans="1:7" x14ac:dyDescent="0.25">
      <c r="A15" s="7" t="s">
        <v>9</v>
      </c>
      <c r="B15" s="7" t="s">
        <v>10</v>
      </c>
      <c r="C15" s="7" t="s">
        <v>11</v>
      </c>
      <c r="D15" s="7" t="s">
        <v>12</v>
      </c>
      <c r="E15" s="7" t="s">
        <v>24</v>
      </c>
      <c r="F15" s="7" t="s">
        <v>23</v>
      </c>
      <c r="G15" s="7" t="s">
        <v>13</v>
      </c>
    </row>
    <row r="16" spans="1:7" x14ac:dyDescent="0.25">
      <c r="A16" t="s">
        <v>26</v>
      </c>
      <c r="B16" s="10">
        <v>10</v>
      </c>
      <c r="C16" s="10">
        <v>1</v>
      </c>
      <c r="D16" s="10">
        <v>3</v>
      </c>
      <c r="E16" s="10">
        <v>2</v>
      </c>
      <c r="F16" s="10">
        <v>2</v>
      </c>
      <c r="G16" s="10">
        <v>6</v>
      </c>
    </row>
    <row r="17" spans="1:7" x14ac:dyDescent="0.25">
      <c r="A17" t="s">
        <v>27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</row>
    <row r="18" spans="1:7" x14ac:dyDescent="0.25">
      <c r="A18" t="s">
        <v>28</v>
      </c>
      <c r="B18" s="10">
        <v>10</v>
      </c>
      <c r="C18" s="10">
        <v>1</v>
      </c>
      <c r="D18" s="10">
        <v>3</v>
      </c>
      <c r="E18" s="10">
        <v>2</v>
      </c>
      <c r="F18" s="10">
        <v>2</v>
      </c>
      <c r="G18" s="10">
        <v>6</v>
      </c>
    </row>
    <row r="19" spans="1:7" x14ac:dyDescent="0.25">
      <c r="A19" t="s">
        <v>29</v>
      </c>
      <c r="B19" s="10">
        <v>10</v>
      </c>
      <c r="C19" s="10">
        <v>1</v>
      </c>
      <c r="D19" s="10">
        <v>3</v>
      </c>
      <c r="E19" s="10">
        <v>2</v>
      </c>
      <c r="F19" s="10">
        <v>2</v>
      </c>
      <c r="G19" s="10">
        <v>6</v>
      </c>
    </row>
    <row r="20" spans="1:7" x14ac:dyDescent="0.25">
      <c r="A20" t="s">
        <v>30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</row>
    <row r="21" spans="1:7" x14ac:dyDescent="0.25">
      <c r="A21" t="s">
        <v>31</v>
      </c>
      <c r="B21" s="10">
        <v>10</v>
      </c>
      <c r="C21" s="10">
        <v>1</v>
      </c>
      <c r="D21" s="10">
        <v>3</v>
      </c>
      <c r="E21" s="10">
        <v>2</v>
      </c>
      <c r="F21" s="10">
        <v>2</v>
      </c>
      <c r="G21" s="10">
        <v>6</v>
      </c>
    </row>
    <row r="22" spans="1:7" x14ac:dyDescent="0.25">
      <c r="A22" t="s">
        <v>32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x14ac:dyDescent="0.25">
      <c r="A23" t="s">
        <v>33</v>
      </c>
      <c r="B23" s="10">
        <v>15</v>
      </c>
      <c r="C23" s="10">
        <v>1</v>
      </c>
      <c r="D23" s="10">
        <v>3</v>
      </c>
      <c r="E23" s="10">
        <v>2</v>
      </c>
      <c r="F23" s="10">
        <v>2</v>
      </c>
      <c r="G23" s="10">
        <v>6</v>
      </c>
    </row>
    <row r="24" spans="1:7" x14ac:dyDescent="0.25">
      <c r="A24" t="s">
        <v>34</v>
      </c>
      <c r="B24" s="10">
        <v>10</v>
      </c>
      <c r="C24" s="10">
        <v>1</v>
      </c>
      <c r="D24" s="10">
        <v>3</v>
      </c>
      <c r="E24" s="10">
        <v>2</v>
      </c>
      <c r="F24" s="10">
        <v>2</v>
      </c>
      <c r="G24" s="10">
        <v>6</v>
      </c>
    </row>
    <row r="25" spans="1:7" x14ac:dyDescent="0.25">
      <c r="A25" t="s">
        <v>35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x14ac:dyDescent="0.25">
      <c r="A26" t="s">
        <v>36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x14ac:dyDescent="0.25">
      <c r="A27" t="s">
        <v>37</v>
      </c>
      <c r="B27" s="10">
        <v>10</v>
      </c>
      <c r="C27" s="10">
        <v>1</v>
      </c>
      <c r="D27" s="10">
        <v>3</v>
      </c>
      <c r="E27" s="10">
        <v>2</v>
      </c>
      <c r="F27" s="10">
        <v>2</v>
      </c>
      <c r="G27" s="10">
        <v>6</v>
      </c>
    </row>
    <row r="28" spans="1:7" s="11" customFormat="1" x14ac:dyDescent="0.25">
      <c r="A28" s="13" t="s">
        <v>63</v>
      </c>
      <c r="B28" s="14">
        <f>SUM(B16:B27)</f>
        <v>75</v>
      </c>
      <c r="C28" s="14">
        <f>SUM(C16:C27)</f>
        <v>7</v>
      </c>
      <c r="D28" s="14">
        <f>SUM(D16:D27)</f>
        <v>21</v>
      </c>
      <c r="E28" s="14">
        <f>SUM(E16:E27)</f>
        <v>14</v>
      </c>
      <c r="F28" s="14">
        <f>SUM(F16:F27)</f>
        <v>14</v>
      </c>
      <c r="G28" s="14">
        <f>SUM(G16:G27)</f>
        <v>42</v>
      </c>
    </row>
    <row r="29" spans="1:7" x14ac:dyDescent="0.25">
      <c r="A29" s="8" t="s">
        <v>46</v>
      </c>
      <c r="B29" s="9"/>
      <c r="C29" s="9"/>
      <c r="D29" s="9"/>
      <c r="E29" s="9"/>
      <c r="F29" s="9"/>
      <c r="G29" s="9"/>
    </row>
    <row r="30" spans="1:7" x14ac:dyDescent="0.25">
      <c r="A30" s="7" t="s">
        <v>9</v>
      </c>
      <c r="B30" s="7" t="s">
        <v>10</v>
      </c>
      <c r="C30" s="7" t="s">
        <v>11</v>
      </c>
      <c r="D30" s="7" t="s">
        <v>12</v>
      </c>
      <c r="E30" s="7" t="s">
        <v>24</v>
      </c>
      <c r="F30" s="7" t="s">
        <v>23</v>
      </c>
      <c r="G30" s="7" t="s">
        <v>13</v>
      </c>
    </row>
    <row r="31" spans="1:7" x14ac:dyDescent="0.25">
      <c r="A31" t="s">
        <v>38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</row>
    <row r="32" spans="1:7" x14ac:dyDescent="0.25">
      <c r="A32" t="s">
        <v>39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x14ac:dyDescent="0.25">
      <c r="A33" t="s">
        <v>40</v>
      </c>
      <c r="B33" s="10">
        <v>10</v>
      </c>
      <c r="C33" s="10">
        <v>1</v>
      </c>
      <c r="D33" s="10">
        <v>3</v>
      </c>
      <c r="E33" s="10">
        <v>2</v>
      </c>
      <c r="F33" s="10">
        <v>2</v>
      </c>
      <c r="G33" s="10">
        <v>6</v>
      </c>
    </row>
    <row r="34" spans="1:7" x14ac:dyDescent="0.25">
      <c r="A34" t="s">
        <v>41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</row>
    <row r="35" spans="1:7" x14ac:dyDescent="0.25">
      <c r="A35" t="s">
        <v>42</v>
      </c>
      <c r="B35" s="10">
        <v>10</v>
      </c>
      <c r="C35" s="10">
        <v>1</v>
      </c>
      <c r="D35" s="10">
        <v>3</v>
      </c>
      <c r="E35" s="10">
        <v>2</v>
      </c>
      <c r="F35" s="10">
        <v>2</v>
      </c>
      <c r="G35" s="10">
        <v>6</v>
      </c>
    </row>
    <row r="36" spans="1:7" x14ac:dyDescent="0.25">
      <c r="A36" t="s">
        <v>43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</row>
    <row r="37" spans="1:7" x14ac:dyDescent="0.25">
      <c r="A37" t="s">
        <v>64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</row>
    <row r="38" spans="1:7" s="11" customFormat="1" x14ac:dyDescent="0.25">
      <c r="A38" s="13" t="s">
        <v>63</v>
      </c>
      <c r="B38" s="14">
        <f>SUM(B31:B37)</f>
        <v>20</v>
      </c>
      <c r="C38" s="14">
        <f>SUM(C31:C37)</f>
        <v>2</v>
      </c>
      <c r="D38" s="14">
        <f>SUM(D31:D37)</f>
        <v>6</v>
      </c>
      <c r="E38" s="14">
        <f>SUM(E31:E37)</f>
        <v>4</v>
      </c>
      <c r="F38" s="14">
        <f>SUM(F31:F37)</f>
        <v>4</v>
      </c>
      <c r="G38" s="14">
        <f>SUM(G31:G37)</f>
        <v>12</v>
      </c>
    </row>
    <row r="39" spans="1:7" x14ac:dyDescent="0.25">
      <c r="A39" s="8" t="s">
        <v>48</v>
      </c>
      <c r="B39" s="9"/>
      <c r="C39" s="9"/>
      <c r="D39" s="9"/>
      <c r="E39" s="9"/>
      <c r="F39" s="9"/>
      <c r="G39" s="9"/>
    </row>
    <row r="40" spans="1:7" x14ac:dyDescent="0.25">
      <c r="A40" s="7" t="s">
        <v>9</v>
      </c>
      <c r="B40" s="7" t="s">
        <v>10</v>
      </c>
      <c r="C40" s="7" t="s">
        <v>11</v>
      </c>
      <c r="D40" s="7" t="s">
        <v>12</v>
      </c>
      <c r="E40" s="7" t="s">
        <v>24</v>
      </c>
      <c r="F40" s="7" t="s">
        <v>23</v>
      </c>
      <c r="G40" s="7" t="s">
        <v>13</v>
      </c>
    </row>
    <row r="41" spans="1:7" x14ac:dyDescent="0.25">
      <c r="A41" t="s">
        <v>47</v>
      </c>
      <c r="B41" s="10">
        <v>15</v>
      </c>
      <c r="C41" s="10">
        <v>1</v>
      </c>
      <c r="D41" s="10">
        <v>3</v>
      </c>
      <c r="E41" s="10">
        <v>2</v>
      </c>
      <c r="F41" s="10">
        <v>2</v>
      </c>
      <c r="G41" s="10">
        <v>6</v>
      </c>
    </row>
    <row r="42" spans="1:7" x14ac:dyDescent="0.25">
      <c r="A42" t="s">
        <v>49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x14ac:dyDescent="0.25">
      <c r="A43" t="s">
        <v>50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</row>
    <row r="44" spans="1:7" x14ac:dyDescent="0.25">
      <c r="A44" t="s">
        <v>51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x14ac:dyDescent="0.25">
      <c r="A45" t="s">
        <v>52</v>
      </c>
      <c r="B45" s="10">
        <v>15</v>
      </c>
      <c r="C45" s="10">
        <v>1</v>
      </c>
      <c r="D45" s="10">
        <v>3</v>
      </c>
      <c r="E45" s="10">
        <v>2</v>
      </c>
      <c r="F45" s="10">
        <v>2</v>
      </c>
      <c r="G45" s="10">
        <v>6</v>
      </c>
    </row>
    <row r="46" spans="1:7" x14ac:dyDescent="0.25">
      <c r="A46" t="s">
        <v>53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x14ac:dyDescent="0.25">
      <c r="A47" t="s">
        <v>54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x14ac:dyDescent="0.25">
      <c r="A48" t="s">
        <v>55</v>
      </c>
      <c r="B48" s="10">
        <v>10</v>
      </c>
      <c r="C48" s="10">
        <v>1</v>
      </c>
      <c r="D48" s="10">
        <v>3</v>
      </c>
      <c r="E48" s="10">
        <v>2</v>
      </c>
      <c r="F48" s="10">
        <v>2</v>
      </c>
      <c r="G48" s="10">
        <v>6</v>
      </c>
    </row>
    <row r="49" spans="1:7" x14ac:dyDescent="0.25">
      <c r="A49" t="s">
        <v>56</v>
      </c>
      <c r="B49" s="10">
        <v>20</v>
      </c>
      <c r="C49" s="10">
        <v>1</v>
      </c>
      <c r="D49" s="10">
        <v>4</v>
      </c>
      <c r="E49" s="10">
        <v>2</v>
      </c>
      <c r="F49" s="10">
        <v>2</v>
      </c>
      <c r="G49" s="10">
        <v>8</v>
      </c>
    </row>
    <row r="50" spans="1:7" x14ac:dyDescent="0.25">
      <c r="A50" t="s">
        <v>57</v>
      </c>
      <c r="B50" s="10">
        <v>10</v>
      </c>
      <c r="C50" s="10">
        <v>1</v>
      </c>
      <c r="D50" s="10">
        <v>3</v>
      </c>
      <c r="E50" s="10">
        <v>2</v>
      </c>
      <c r="F50" s="10">
        <v>2</v>
      </c>
      <c r="G50" s="10">
        <v>6</v>
      </c>
    </row>
    <row r="51" spans="1:7" x14ac:dyDescent="0.25">
      <c r="A51" t="s">
        <v>58</v>
      </c>
      <c r="B51" s="10"/>
      <c r="C51" s="10"/>
      <c r="D51" s="10"/>
      <c r="E51" s="10"/>
      <c r="F51" s="10"/>
      <c r="G51" s="10"/>
    </row>
    <row r="52" spans="1:7" x14ac:dyDescent="0.25">
      <c r="A52" t="s">
        <v>59</v>
      </c>
      <c r="B52" s="10">
        <v>10</v>
      </c>
      <c r="C52" s="10">
        <v>1</v>
      </c>
      <c r="D52" s="10">
        <v>2</v>
      </c>
      <c r="E52" s="10">
        <v>2</v>
      </c>
      <c r="F52" s="10">
        <v>2</v>
      </c>
      <c r="G52" s="10">
        <v>4</v>
      </c>
    </row>
    <row r="53" spans="1:7" x14ac:dyDescent="0.25">
      <c r="A53" t="s">
        <v>60</v>
      </c>
      <c r="B53" s="10">
        <v>20</v>
      </c>
      <c r="C53" s="10">
        <v>1</v>
      </c>
      <c r="D53" s="10">
        <v>3</v>
      </c>
      <c r="E53" s="10">
        <v>2</v>
      </c>
      <c r="F53" s="10">
        <v>2</v>
      </c>
      <c r="G53" s="10">
        <v>6</v>
      </c>
    </row>
    <row r="54" spans="1:7" x14ac:dyDescent="0.25">
      <c r="A54" t="s">
        <v>61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x14ac:dyDescent="0.25">
      <c r="A55" t="s">
        <v>62</v>
      </c>
      <c r="B55" s="10">
        <v>10</v>
      </c>
      <c r="C55" s="10">
        <v>1</v>
      </c>
      <c r="D55" s="10">
        <v>2</v>
      </c>
      <c r="E55" s="10">
        <v>2</v>
      </c>
      <c r="F55" s="10">
        <v>2</v>
      </c>
      <c r="G55" s="10">
        <v>4</v>
      </c>
    </row>
    <row r="56" spans="1:7" x14ac:dyDescent="0.25">
      <c r="A56" s="13" t="s">
        <v>63</v>
      </c>
      <c r="B56" s="13">
        <f>SUM(B41:B55)</f>
        <v>110</v>
      </c>
      <c r="C56" s="13">
        <f>SUM(C41:C55)</f>
        <v>8</v>
      </c>
      <c r="D56" s="13">
        <f>SUM(D41:D55)</f>
        <v>23</v>
      </c>
      <c r="E56" s="13">
        <f>SUM(E41:E55)</f>
        <v>16</v>
      </c>
      <c r="F56" s="13">
        <f>SUM(F41:F55)</f>
        <v>16</v>
      </c>
      <c r="G56" s="13">
        <f>SUM(G41:G55)</f>
        <v>46</v>
      </c>
    </row>
    <row r="57" spans="1:7" x14ac:dyDescent="0.25">
      <c r="A57" s="12" t="s">
        <v>65</v>
      </c>
      <c r="B57" s="12">
        <f>B13+B28+B38+B56</f>
        <v>275</v>
      </c>
      <c r="C57" s="12">
        <f>C13+C28+C38+C56</f>
        <v>23</v>
      </c>
      <c r="D57" s="12">
        <f>D13+D28+D38+D56</f>
        <v>69</v>
      </c>
      <c r="E57" s="12">
        <f>E13+E28+E38+E56</f>
        <v>46</v>
      </c>
      <c r="F57" s="12">
        <f>F13+F28+F38+F56</f>
        <v>46</v>
      </c>
      <c r="G57" s="12">
        <f>G13+G28+G38+G56</f>
        <v>138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</vt:lpstr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2018-09-26T06:32:51Z</dcterms:created>
  <dcterms:modified xsi:type="dcterms:W3CDTF">2018-10-01T14:19:13Z</dcterms:modified>
</cp:coreProperties>
</file>